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acroix/Documents/Jupyter_notebook/Paper4/tables/"/>
    </mc:Choice>
  </mc:AlternateContent>
  <xr:revisionPtr revIDLastSave="0" documentId="8_{844C56B3-896A-454D-BB7B-D1D2D66CCCD6}" xr6:coauthVersionLast="47" xr6:coauthVersionMax="47" xr10:uidLastSave="{00000000-0000-0000-0000-000000000000}"/>
  <bookViews>
    <workbookView xWindow="0" yWindow="0" windowWidth="38400" windowHeight="21600" xr2:uid="{667B66AA-6AF1-6D47-8614-506CA42111F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3" i="1" l="1"/>
  <c r="F10" i="1"/>
  <c r="C9" i="1"/>
  <c r="F9" i="1" s="1"/>
  <c r="F7" i="1"/>
  <c r="F8" i="1"/>
  <c r="C8" i="1"/>
  <c r="F6" i="1"/>
  <c r="F5" i="1"/>
  <c r="F4" i="1"/>
  <c r="C18" i="1"/>
  <c r="F18" i="1" s="1"/>
  <c r="F17" i="1"/>
  <c r="F16" i="1"/>
  <c r="F21" i="1" s="1"/>
</calcChain>
</file>

<file path=xl/sharedStrings.xml><?xml version="1.0" encoding="utf-8"?>
<sst xmlns="http://schemas.openxmlformats.org/spreadsheetml/2006/main" count="44" uniqueCount="36">
  <si>
    <t>Gough et al., 2001</t>
  </si>
  <si>
    <t>BGB Increase [g / m2]</t>
  </si>
  <si>
    <t>Fertilizer Rate</t>
  </si>
  <si>
    <t>Years Fertilized</t>
  </si>
  <si>
    <t>Dry Tundra</t>
  </si>
  <si>
    <t>Acidic Tussoc</t>
  </si>
  <si>
    <t>Shaver et al. 1998</t>
  </si>
  <si>
    <t>Aboveground</t>
  </si>
  <si>
    <t>Shaver et al., 2001</t>
  </si>
  <si>
    <t>Site Vegetation</t>
  </si>
  <si>
    <t>Source</t>
  </si>
  <si>
    <t xml:space="preserve">Graminoids, deciduous, evergreen, non vascular </t>
  </si>
  <si>
    <t>Table 3 -&gt; vascular and non-vascular</t>
  </si>
  <si>
    <t>Table 2 -&gt; includes also belowground stems</t>
  </si>
  <si>
    <t>Shaver et al.,  1998</t>
  </si>
  <si>
    <t xml:space="preserve">Graminoids, deciduous, evergreen, non-vascular </t>
  </si>
  <si>
    <t>Notes (scientific)</t>
  </si>
  <si>
    <t>over two-fold increase</t>
  </si>
  <si>
    <t>Include NPP, NEP</t>
  </si>
  <si>
    <t>Yes</t>
  </si>
  <si>
    <t>No</t>
  </si>
  <si>
    <t>Biomass increase</t>
  </si>
  <si>
    <t>Text, Results section</t>
  </si>
  <si>
    <t>4-fold biomass increase(!)</t>
  </si>
  <si>
    <t>Shaver and Chapin, 1985</t>
  </si>
  <si>
    <t>13 sites different tundra</t>
  </si>
  <si>
    <t>All N fertilizing experiments are averaged</t>
  </si>
  <si>
    <t>-</t>
  </si>
  <si>
    <t>Gignac et al., 2022</t>
  </si>
  <si>
    <t>Boelman et al., 2003</t>
  </si>
  <si>
    <t>Figure 1</t>
  </si>
  <si>
    <t>13 sites, ONLY LEAF, remove!</t>
  </si>
  <si>
    <t>Including NP</t>
  </si>
  <si>
    <t>Gough and Hobbie , 2003</t>
  </si>
  <si>
    <t>Iversen et al.</t>
  </si>
  <si>
    <t>Gough et al., 2012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</si>
</sst>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8"/>
      <color theme="1"/>
      <name val="Aptos Narrow (Body)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0E2CD9-AD45-1343-AA26-BC1443F81F4E}">
  <dimension ref="A1:K21"/>
  <sheetViews>
    <sheetView tabSelected="1" workbookViewId="0">
      <selection activeCell="C11" sqref="C11"/>
    </sheetView>
  </sheetViews>
  <sheetFormatPr baseColWidth="10" defaultRowHeight="16" x14ac:dyDescent="0.2"/>
  <cols>
    <col min="1" max="1" width="29.83203125" customWidth="1"/>
    <col min="2" max="2" width="31.1640625" customWidth="1"/>
    <col min="3" max="3" width="18.33203125" customWidth="1"/>
    <col min="4" max="4" width="17.33203125" customWidth="1"/>
    <col min="5" max="5" width="13.83203125" customWidth="1"/>
    <col min="6" max="6" width="18.33203125" customWidth="1"/>
    <col min="10" max="10" width="19.83203125" customWidth="1"/>
    <col min="11" max="11" width="16.83203125" customWidth="1"/>
  </cols>
  <sheetData>
    <row r="1" spans="1:11" ht="24" x14ac:dyDescent="0.3">
      <c r="A1" s="2" t="s">
        <v>7</v>
      </c>
    </row>
    <row r="2" spans="1:11" x14ac:dyDescent="0.2">
      <c r="B2" s="1" t="s">
        <v>9</v>
      </c>
      <c r="C2" s="1" t="s">
        <v>1</v>
      </c>
      <c r="D2" s="1" t="s">
        <v>2</v>
      </c>
      <c r="E2" s="1" t="s">
        <v>3</v>
      </c>
      <c r="F2" s="1" t="s">
        <v>21</v>
      </c>
      <c r="G2" s="1" t="s">
        <v>10</v>
      </c>
      <c r="J2" s="1" t="s">
        <v>16</v>
      </c>
      <c r="K2" s="1" t="s">
        <v>18</v>
      </c>
    </row>
    <row r="4" spans="1:11" x14ac:dyDescent="0.2">
      <c r="A4" t="s">
        <v>8</v>
      </c>
      <c r="B4" t="s">
        <v>11</v>
      </c>
      <c r="C4">
        <v>360.29</v>
      </c>
      <c r="D4">
        <v>10</v>
      </c>
      <c r="E4">
        <v>11</v>
      </c>
      <c r="F4">
        <f>C4/(D4*E4)</f>
        <v>3.2753636363636365</v>
      </c>
      <c r="G4" t="s">
        <v>12</v>
      </c>
    </row>
    <row r="5" spans="1:11" x14ac:dyDescent="0.2">
      <c r="A5" t="s">
        <v>14</v>
      </c>
      <c r="B5" t="s">
        <v>15</v>
      </c>
      <c r="C5">
        <v>167.8</v>
      </c>
      <c r="D5">
        <v>10</v>
      </c>
      <c r="E5">
        <v>5</v>
      </c>
      <c r="F5">
        <f>C5/(D5*E5)</f>
        <v>3.3560000000000003</v>
      </c>
      <c r="G5" t="s">
        <v>13</v>
      </c>
      <c r="J5" t="s">
        <v>17</v>
      </c>
      <c r="K5" t="s">
        <v>19</v>
      </c>
    </row>
    <row r="6" spans="1:11" x14ac:dyDescent="0.2">
      <c r="A6" t="s">
        <v>29</v>
      </c>
      <c r="B6" t="s">
        <v>15</v>
      </c>
      <c r="C6">
        <v>161</v>
      </c>
      <c r="D6">
        <v>10</v>
      </c>
      <c r="E6">
        <v>13</v>
      </c>
      <c r="F6">
        <f>C6/(D6*E6)</f>
        <v>1.2384615384615385</v>
      </c>
      <c r="G6" t="s">
        <v>22</v>
      </c>
      <c r="J6" t="s">
        <v>23</v>
      </c>
      <c r="K6" t="s">
        <v>20</v>
      </c>
    </row>
    <row r="7" spans="1:11" x14ac:dyDescent="0.2">
      <c r="A7" t="s">
        <v>24</v>
      </c>
      <c r="B7" t="s">
        <v>25</v>
      </c>
      <c r="C7" t="s">
        <v>27</v>
      </c>
      <c r="D7">
        <v>25</v>
      </c>
      <c r="E7">
        <v>1</v>
      </c>
      <c r="F7" t="e">
        <f>C7/(D7*E7)</f>
        <v>#VALUE!</v>
      </c>
      <c r="J7" t="s">
        <v>31</v>
      </c>
    </row>
    <row r="8" spans="1:11" x14ac:dyDescent="0.2">
      <c r="A8" t="s">
        <v>28</v>
      </c>
      <c r="C8">
        <f>14*17</f>
        <v>238</v>
      </c>
      <c r="D8">
        <v>3</v>
      </c>
      <c r="E8">
        <v>18</v>
      </c>
      <c r="F8">
        <f t="shared" ref="F7:F10" si="0">C8/(D8*E8)</f>
        <v>4.4074074074074074</v>
      </c>
      <c r="G8" t="s">
        <v>30</v>
      </c>
      <c r="J8" t="s">
        <v>26</v>
      </c>
    </row>
    <row r="9" spans="1:11" x14ac:dyDescent="0.2">
      <c r="A9" t="s">
        <v>35</v>
      </c>
      <c r="C9">
        <f>(365+25.5)/2</f>
        <v>195.25</v>
      </c>
      <c r="D9">
        <v>10</v>
      </c>
      <c r="E9">
        <v>11</v>
      </c>
      <c r="F9">
        <f t="shared" si="0"/>
        <v>1.7749999999999999</v>
      </c>
      <c r="K9" t="s">
        <v>19</v>
      </c>
    </row>
    <row r="10" spans="1:11" x14ac:dyDescent="0.2">
      <c r="A10" t="s">
        <v>33</v>
      </c>
      <c r="C10">
        <v>63.33</v>
      </c>
      <c r="D10">
        <v>10</v>
      </c>
      <c r="E10">
        <v>4</v>
      </c>
      <c r="F10">
        <f t="shared" si="0"/>
        <v>1.58325</v>
      </c>
      <c r="J10" t="s">
        <v>32</v>
      </c>
    </row>
    <row r="11" spans="1:11" x14ac:dyDescent="0.2">
      <c r="A11" t="s">
        <v>34</v>
      </c>
    </row>
    <row r="13" spans="1:11" x14ac:dyDescent="0.2">
      <c r="F13">
        <f>AVERAGE(F4:F6,F8:F9)</f>
        <v>2.8104465164465164</v>
      </c>
    </row>
    <row r="15" spans="1:11" x14ac:dyDescent="0.2">
      <c r="A15" s="1"/>
      <c r="B15" s="1" t="s">
        <v>9</v>
      </c>
      <c r="C15" s="1" t="s">
        <v>1</v>
      </c>
      <c r="D15" s="1" t="s">
        <v>2</v>
      </c>
      <c r="E15" s="1" t="s">
        <v>3</v>
      </c>
      <c r="F15" s="1" t="s">
        <v>21</v>
      </c>
    </row>
    <row r="16" spans="1:11" x14ac:dyDescent="0.2">
      <c r="A16" t="s">
        <v>0</v>
      </c>
      <c r="B16" t="s">
        <v>4</v>
      </c>
      <c r="C16">
        <v>922</v>
      </c>
      <c r="D16">
        <v>10</v>
      </c>
      <c r="E16">
        <v>11</v>
      </c>
      <c r="F16">
        <f>C16/(D16*E16)</f>
        <v>8.3818181818181809</v>
      </c>
    </row>
    <row r="17" spans="1:6" x14ac:dyDescent="0.2">
      <c r="A17" t="s">
        <v>0</v>
      </c>
      <c r="B17" t="s">
        <v>5</v>
      </c>
      <c r="C17">
        <v>0</v>
      </c>
      <c r="D17">
        <v>10</v>
      </c>
      <c r="E17">
        <v>11</v>
      </c>
      <c r="F17">
        <f>C17/(D17*E17)</f>
        <v>0</v>
      </c>
    </row>
    <row r="18" spans="1:6" x14ac:dyDescent="0.2">
      <c r="A18" t="s">
        <v>6</v>
      </c>
      <c r="C18">
        <f>12.5*6.5</f>
        <v>81.25</v>
      </c>
      <c r="D18">
        <v>10</v>
      </c>
      <c r="E18">
        <v>5</v>
      </c>
      <c r="F18">
        <f>C18/(D18*E18)</f>
        <v>1.625</v>
      </c>
    </row>
    <row r="21" spans="1:6" x14ac:dyDescent="0.2">
      <c r="F21">
        <f>AVERAGE(F16,F18)</f>
        <v>5.0034090909090905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Lacroix, Fabrice Kenneth Michel (GIUB)</dc:creator>
  <cp:lastModifiedBy>Lacroix, Fabrice Kenneth Michel (GIUB)</cp:lastModifiedBy>
  <dcterms:created xsi:type="dcterms:W3CDTF">2025-09-14T07:23:31Z</dcterms:created>
  <dcterms:modified xsi:type="dcterms:W3CDTF">2025-09-14T18:45:03Z</dcterms:modified>
</cp:coreProperties>
</file>