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croix/Documents/Jupyter_notebook/Paper4/tables/"/>
    </mc:Choice>
  </mc:AlternateContent>
  <xr:revisionPtr revIDLastSave="0" documentId="13_ncr:1_{52978C5D-F089-FE40-A2D9-25B1E481BB1D}" xr6:coauthVersionLast="47" xr6:coauthVersionMax="47" xr10:uidLastSave="{00000000-0000-0000-0000-000000000000}"/>
  <bookViews>
    <workbookView xWindow="6480" yWindow="1100" windowWidth="18920" windowHeight="19460" xr2:uid="{667B66AA-6AF1-6D47-8614-506CA42111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F8" i="1" s="1"/>
  <c r="F18" i="1" s="1"/>
  <c r="F12" i="1"/>
  <c r="C12" i="1"/>
  <c r="F11" i="1"/>
  <c r="C11" i="1"/>
  <c r="F10" i="1"/>
  <c r="C9" i="1"/>
  <c r="F9" i="1" s="1"/>
  <c r="F6" i="1"/>
  <c r="F4" i="1"/>
  <c r="C24" i="1"/>
  <c r="F24" i="1" s="1"/>
  <c r="F22" i="1"/>
  <c r="F27" i="1" s="1"/>
</calcChain>
</file>

<file path=xl/sharedStrings.xml><?xml version="1.0" encoding="utf-8"?>
<sst xmlns="http://schemas.openxmlformats.org/spreadsheetml/2006/main" count="52" uniqueCount="44">
  <si>
    <t>BGB Increase [g / m2]</t>
  </si>
  <si>
    <t>Fertilizer Rate</t>
  </si>
  <si>
    <t>Years Fertilized</t>
  </si>
  <si>
    <t>Dry Tundra</t>
  </si>
  <si>
    <t>Acidic Tussoc</t>
  </si>
  <si>
    <t>Shaver et al. 1998</t>
  </si>
  <si>
    <t>Aboveground</t>
  </si>
  <si>
    <t>Shaver et al., 2001</t>
  </si>
  <si>
    <t>Site Vegetation</t>
  </si>
  <si>
    <t>Source</t>
  </si>
  <si>
    <t xml:space="preserve">Graminoids, deciduous, evergreen, non vascular </t>
  </si>
  <si>
    <t>Table 3 -&gt; vascular and non-vascular</t>
  </si>
  <si>
    <t>Table 2 -&gt; includes also belowground stems</t>
  </si>
  <si>
    <t xml:space="preserve">Graminoids, deciduous, evergreen, non-vascular </t>
  </si>
  <si>
    <t>Notes (scientific)</t>
  </si>
  <si>
    <t>Include NPP, NEP</t>
  </si>
  <si>
    <t>Yes</t>
  </si>
  <si>
    <t>No</t>
  </si>
  <si>
    <t>Text, Results section</t>
  </si>
  <si>
    <t>4-fold biomass increase(!)</t>
  </si>
  <si>
    <t>Shaver and Chapin, 1985</t>
  </si>
  <si>
    <t>13 sites different tundra</t>
  </si>
  <si>
    <t>All N fertilizing experiments are averaged</t>
  </si>
  <si>
    <t>-</t>
  </si>
  <si>
    <t>Gignac et al., 2022</t>
  </si>
  <si>
    <t>Boelman et al., 2003</t>
  </si>
  <si>
    <t>Figure 1</t>
  </si>
  <si>
    <t>13 sites, ONLY LEAF, remove!</t>
  </si>
  <si>
    <t>Including NP</t>
  </si>
  <si>
    <t>Gough and Hobbie , 2003</t>
  </si>
  <si>
    <t>Gough et al., 2012</t>
  </si>
  <si>
    <t>Bog/ intermediate fen/ rich fen</t>
  </si>
  <si>
    <t>Average</t>
  </si>
  <si>
    <t>Belowground</t>
  </si>
  <si>
    <t>Non significant</t>
  </si>
  <si>
    <t>g Biomass increase per g N</t>
  </si>
  <si>
    <t>Fertilizer Rate [g N / m2]</t>
  </si>
  <si>
    <t>Iversen et al. 2010</t>
  </si>
  <si>
    <t>Only N</t>
  </si>
  <si>
    <t>Table 3 -&gt; community estimates</t>
  </si>
  <si>
    <t>Shaver et al., 1998</t>
  </si>
  <si>
    <t>Veen et al., 2001</t>
  </si>
  <si>
    <t xml:space="preserve"> Not a fertilizing experiment, would remove</t>
  </si>
  <si>
    <t>Averaged NP and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</si>
</sst>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8"/>
      <color theme="1"/>
      <name val="Aptos Narrow (Body)"/>
    </font>
    <font>
      <sz val="12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E2CD9-AD45-1343-AA26-BC1443F81F4E}">
  <dimension ref="A1:K27"/>
  <sheetViews>
    <sheetView tabSelected="1" workbookViewId="0">
      <selection activeCell="C10" sqref="C10"/>
    </sheetView>
  </sheetViews>
  <sheetFormatPr baseColWidth="10" defaultRowHeight="16" x14ac:dyDescent="0.2"/>
  <cols>
    <col min="1" max="1" width="29.83203125" customWidth="1"/>
    <col min="2" max="2" width="31.1640625" customWidth="1"/>
    <col min="3" max="3" width="20.83203125" customWidth="1"/>
    <col min="4" max="4" width="25.83203125" customWidth="1"/>
    <col min="5" max="5" width="20.33203125" customWidth="1"/>
    <col min="6" max="6" width="35.6640625" customWidth="1"/>
    <col min="7" max="7" width="36.1640625" customWidth="1"/>
    <col min="10" max="10" width="19.83203125" customWidth="1"/>
    <col min="11" max="11" width="16.83203125" customWidth="1"/>
  </cols>
  <sheetData>
    <row r="1" spans="1:11" ht="24" x14ac:dyDescent="0.3">
      <c r="A1" s="2" t="s">
        <v>6</v>
      </c>
    </row>
    <row r="2" spans="1:11" x14ac:dyDescent="0.2">
      <c r="B2" s="1" t="s">
        <v>8</v>
      </c>
      <c r="C2" s="1" t="s">
        <v>0</v>
      </c>
      <c r="D2" s="1" t="s">
        <v>36</v>
      </c>
      <c r="E2" s="1" t="s">
        <v>2</v>
      </c>
      <c r="F2" s="1" t="s">
        <v>35</v>
      </c>
      <c r="G2" s="1" t="s">
        <v>9</v>
      </c>
      <c r="J2" s="1" t="s">
        <v>14</v>
      </c>
      <c r="K2" s="1" t="s">
        <v>15</v>
      </c>
    </row>
    <row r="4" spans="1:11" x14ac:dyDescent="0.2">
      <c r="A4" s="3" t="s">
        <v>7</v>
      </c>
      <c r="B4" s="3" t="s">
        <v>10</v>
      </c>
      <c r="C4" s="3">
        <v>360.29</v>
      </c>
      <c r="D4" s="3">
        <v>10</v>
      </c>
      <c r="E4" s="3">
        <v>11</v>
      </c>
      <c r="F4" s="3">
        <f>C4/(D4*E4)</f>
        <v>3.2753636363636365</v>
      </c>
      <c r="G4" t="s">
        <v>11</v>
      </c>
    </row>
    <row r="5" spans="1:11" x14ac:dyDescent="0.2">
      <c r="A5" s="3"/>
      <c r="B5" s="3"/>
      <c r="C5" s="3"/>
      <c r="D5" s="3"/>
      <c r="E5" s="3"/>
      <c r="F5" s="3"/>
    </row>
    <row r="6" spans="1:11" x14ac:dyDescent="0.2">
      <c r="A6" t="s">
        <v>25</v>
      </c>
      <c r="B6" t="s">
        <v>13</v>
      </c>
      <c r="C6">
        <v>161</v>
      </c>
      <c r="D6">
        <v>10</v>
      </c>
      <c r="E6">
        <v>13</v>
      </c>
      <c r="F6">
        <f>C6/(D6*E6)</f>
        <v>1.2384615384615385</v>
      </c>
      <c r="G6" t="s">
        <v>18</v>
      </c>
      <c r="J6" t="s">
        <v>19</v>
      </c>
      <c r="K6" t="s">
        <v>17</v>
      </c>
    </row>
    <row r="7" spans="1:11" x14ac:dyDescent="0.2">
      <c r="A7" t="s">
        <v>20</v>
      </c>
      <c r="B7" t="s">
        <v>21</v>
      </c>
      <c r="C7" t="s">
        <v>23</v>
      </c>
      <c r="J7" t="s">
        <v>27</v>
      </c>
    </row>
    <row r="8" spans="1:11" x14ac:dyDescent="0.2">
      <c r="A8" s="3" t="s">
        <v>24</v>
      </c>
      <c r="B8" s="3"/>
      <c r="C8" s="3">
        <f>50</f>
        <v>50</v>
      </c>
      <c r="D8" s="3">
        <v>3</v>
      </c>
      <c r="E8" s="3">
        <v>18</v>
      </c>
      <c r="F8" s="3">
        <f t="shared" ref="F8:F12" si="0">C8/(D8*E8)</f>
        <v>0.92592592592592593</v>
      </c>
      <c r="G8" t="s">
        <v>26</v>
      </c>
      <c r="J8" t="s">
        <v>22</v>
      </c>
    </row>
    <row r="9" spans="1:11" x14ac:dyDescent="0.2">
      <c r="A9" t="s">
        <v>30</v>
      </c>
      <c r="C9">
        <f>(365+25.5)/2</f>
        <v>195.25</v>
      </c>
      <c r="D9">
        <v>10</v>
      </c>
      <c r="E9">
        <v>11</v>
      </c>
      <c r="F9">
        <f t="shared" si="0"/>
        <v>1.7749999999999999</v>
      </c>
      <c r="K9" t="s">
        <v>16</v>
      </c>
    </row>
    <row r="10" spans="1:11" x14ac:dyDescent="0.2">
      <c r="A10" t="s">
        <v>29</v>
      </c>
      <c r="C10">
        <v>63.33</v>
      </c>
      <c r="D10">
        <v>10</v>
      </c>
      <c r="E10">
        <v>4</v>
      </c>
      <c r="F10">
        <f t="shared" si="0"/>
        <v>1.58325</v>
      </c>
      <c r="J10" t="s">
        <v>28</v>
      </c>
    </row>
    <row r="11" spans="1:11" x14ac:dyDescent="0.2">
      <c r="A11" s="3" t="s">
        <v>37</v>
      </c>
      <c r="B11" s="3" t="s">
        <v>31</v>
      </c>
      <c r="C11" s="3">
        <f>(610+1039+61)/3</f>
        <v>570</v>
      </c>
      <c r="D11" s="3">
        <v>6</v>
      </c>
      <c r="E11" s="3">
        <v>4</v>
      </c>
      <c r="F11" s="3">
        <f t="shared" si="0"/>
        <v>23.75</v>
      </c>
      <c r="G11" t="s">
        <v>39</v>
      </c>
      <c r="J11" t="s">
        <v>38</v>
      </c>
    </row>
    <row r="12" spans="1:11" x14ac:dyDescent="0.2">
      <c r="A12" s="3" t="s">
        <v>40</v>
      </c>
      <c r="B12" s="3" t="s">
        <v>10</v>
      </c>
      <c r="C12" s="3">
        <f>((403.15-141.73)+(526.39-148.31)+(438.83-297.78))/3</f>
        <v>260.18333333333334</v>
      </c>
      <c r="D12" s="3">
        <v>10</v>
      </c>
      <c r="E12" s="3">
        <v>5</v>
      </c>
      <c r="F12" s="3">
        <f t="shared" si="0"/>
        <v>5.2036666666666669</v>
      </c>
      <c r="G12" t="s">
        <v>12</v>
      </c>
      <c r="J12" t="s">
        <v>43</v>
      </c>
    </row>
    <row r="13" spans="1:11" x14ac:dyDescent="0.2">
      <c r="A13" s="3" t="s">
        <v>41</v>
      </c>
      <c r="B13" s="3" t="s">
        <v>42</v>
      </c>
    </row>
    <row r="18" spans="1:6" x14ac:dyDescent="0.2">
      <c r="A18" s="1" t="s">
        <v>32</v>
      </c>
      <c r="B18" s="1"/>
      <c r="C18" s="1"/>
      <c r="D18" s="1"/>
      <c r="E18" s="1"/>
      <c r="F18" s="1">
        <f>AVERAGE(F4:F6,F8:F12)</f>
        <v>5.3930953953453962</v>
      </c>
    </row>
    <row r="20" spans="1:6" ht="24" x14ac:dyDescent="0.3">
      <c r="A20" s="2" t="s">
        <v>33</v>
      </c>
    </row>
    <row r="21" spans="1:6" x14ac:dyDescent="0.2">
      <c r="A21" s="1"/>
      <c r="B21" s="1" t="s">
        <v>8</v>
      </c>
      <c r="C21" s="1" t="s">
        <v>0</v>
      </c>
      <c r="D21" s="1" t="s">
        <v>1</v>
      </c>
      <c r="E21" s="1" t="s">
        <v>2</v>
      </c>
      <c r="F21" s="1" t="s">
        <v>35</v>
      </c>
    </row>
    <row r="22" spans="1:6" x14ac:dyDescent="0.2">
      <c r="A22" s="3" t="s">
        <v>30</v>
      </c>
      <c r="B22" s="3" t="s">
        <v>3</v>
      </c>
      <c r="C22" s="3">
        <v>9220</v>
      </c>
      <c r="D22" s="3">
        <v>10</v>
      </c>
      <c r="E22" s="3">
        <v>11</v>
      </c>
      <c r="F22" s="3">
        <f>C22/(D22*E22)</f>
        <v>83.818181818181813</v>
      </c>
    </row>
    <row r="23" spans="1:6" x14ac:dyDescent="0.2">
      <c r="A23" t="s">
        <v>30</v>
      </c>
      <c r="B23" t="s">
        <v>4</v>
      </c>
      <c r="C23" t="s">
        <v>34</v>
      </c>
      <c r="D23">
        <v>10</v>
      </c>
      <c r="E23">
        <v>11</v>
      </c>
      <c r="F23">
        <v>0</v>
      </c>
    </row>
    <row r="24" spans="1:6" x14ac:dyDescent="0.2">
      <c r="A24" s="3" t="s">
        <v>5</v>
      </c>
      <c r="B24" s="3"/>
      <c r="C24" s="3">
        <f>12.5*6.5</f>
        <v>81.25</v>
      </c>
      <c r="D24" s="3">
        <v>10</v>
      </c>
      <c r="E24" s="3">
        <v>5</v>
      </c>
      <c r="F24" s="3">
        <f>C24/(D24*E24)</f>
        <v>1.625</v>
      </c>
    </row>
    <row r="27" spans="1:6" x14ac:dyDescent="0.2">
      <c r="A27" s="1" t="s">
        <v>32</v>
      </c>
      <c r="B27" s="1"/>
      <c r="C27" s="1"/>
      <c r="D27" s="1"/>
      <c r="E27" s="1"/>
      <c r="F27" s="1">
        <f>AVERAGE(F22,F24)</f>
        <v>42.721590909090907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Lacroix, Fabrice Kenneth Michel (GIUB)</dc:creator>
  <cp:lastModifiedBy>Lacroix, Fabrice Kenneth Michel (GIUB)</cp:lastModifiedBy>
  <dcterms:created xsi:type="dcterms:W3CDTF">2025-09-14T07:23:31Z</dcterms:created>
  <dcterms:modified xsi:type="dcterms:W3CDTF">2025-09-19T08:55:58Z</dcterms:modified>
</cp:coreProperties>
</file>