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croix/Documents/Jupyter_notebook/Paper4/tables/"/>
    </mc:Choice>
  </mc:AlternateContent>
  <xr:revisionPtr revIDLastSave="0" documentId="13_ncr:1_{E69AE69D-A968-2448-B074-ADBD69A270D2}" xr6:coauthVersionLast="47" xr6:coauthVersionMax="47" xr10:uidLastSave="{00000000-0000-0000-0000-000000000000}"/>
  <bookViews>
    <workbookView xWindow="0" yWindow="760" windowWidth="29400" windowHeight="17120" xr2:uid="{42EA68A6-40D4-4976-A5B2-F9DCE25B3529}"/>
  </bookViews>
  <sheets>
    <sheet name="Supplement Table 1" sheetId="1" r:id="rId1"/>
    <sheet name="Supplement Table 2" sheetId="2" r:id="rId2"/>
    <sheet name="Supplement Table 3" sheetId="3" r:id="rId3"/>
    <sheet name="Supplement Table 4" sheetId="4" r:id="rId4"/>
    <sheet name="Supplement Table5" sheetId="7" r:id="rId5"/>
    <sheet name="Supplement Table S6" sheetId="6" r:id="rId6"/>
    <sheet name="Supplement Table 7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7" l="1"/>
  <c r="B25" i="7"/>
  <c r="C15" i="7"/>
  <c r="C14" i="7"/>
  <c r="C13" i="7"/>
  <c r="C12" i="7"/>
  <c r="C11" i="7"/>
  <c r="B11" i="7"/>
  <c r="C6" i="7"/>
  <c r="B5" i="7"/>
  <c r="B28" i="7" s="1"/>
  <c r="C4" i="7"/>
  <c r="C28" i="7" s="1"/>
  <c r="B3" i="7"/>
  <c r="B27" i="7" s="1"/>
  <c r="E12" i="4"/>
  <c r="D12" i="4"/>
  <c r="C12" i="4"/>
  <c r="B12" i="4"/>
  <c r="E11" i="4"/>
  <c r="E10" i="4"/>
  <c r="D10" i="4"/>
  <c r="C10" i="4"/>
  <c r="B10" i="4"/>
  <c r="E9" i="4"/>
  <c r="D9" i="4"/>
  <c r="D11" i="4" s="1"/>
  <c r="C9" i="4"/>
  <c r="C11" i="4" s="1"/>
  <c r="B9" i="4"/>
  <c r="E6" i="4"/>
  <c r="D6" i="4"/>
  <c r="C6" i="4"/>
  <c r="B6" i="4"/>
  <c r="B11" i="4" s="1"/>
  <c r="C27" i="7" l="1"/>
  <c r="U4" i="3"/>
  <c r="U6" i="3"/>
  <c r="U9" i="3"/>
  <c r="U3" i="3"/>
  <c r="K4" i="3"/>
  <c r="K6" i="3"/>
  <c r="K9" i="3"/>
  <c r="K3" i="3"/>
  <c r="S3" i="3"/>
  <c r="R5" i="3"/>
  <c r="S5" i="3" s="1"/>
  <c r="Q7" i="3"/>
  <c r="H3" i="1" s="1"/>
  <c r="B4" i="1"/>
  <c r="D3" i="1"/>
  <c r="N3" i="3"/>
  <c r="C4" i="3"/>
  <c r="B4" i="3"/>
  <c r="D5" i="3"/>
  <c r="D7" i="3"/>
  <c r="C6" i="3"/>
  <c r="B3" i="1"/>
  <c r="H7" i="3"/>
  <c r="D4" i="1" s="1"/>
  <c r="H5" i="3"/>
  <c r="I5" i="3" s="1"/>
  <c r="I14" i="1"/>
  <c r="I13" i="1"/>
  <c r="D4" i="3" l="1"/>
  <c r="I7" i="3"/>
  <c r="S7" i="3"/>
  <c r="B9" i="3"/>
  <c r="F13" i="1"/>
  <c r="R6" i="3"/>
  <c r="Q6" i="3"/>
  <c r="Q4" i="3"/>
  <c r="M6" i="3"/>
  <c r="M4" i="3"/>
  <c r="L7" i="3"/>
  <c r="L5" i="3"/>
  <c r="C9" i="3"/>
  <c r="H6" i="3"/>
  <c r="G6" i="3"/>
  <c r="I6" i="3" s="1"/>
  <c r="G4" i="3"/>
  <c r="B6" i="3"/>
  <c r="D6" i="3" s="1"/>
  <c r="H14" i="2"/>
  <c r="G14" i="2"/>
  <c r="F14" i="2"/>
  <c r="E14" i="2"/>
  <c r="D14" i="2"/>
  <c r="C14" i="2"/>
  <c r="B14" i="2"/>
  <c r="B13" i="1"/>
  <c r="F14" i="1"/>
  <c r="E13" i="1"/>
  <c r="E14" i="1"/>
  <c r="D14" i="1"/>
  <c r="D13" i="1"/>
  <c r="C14" i="1"/>
  <c r="B14" i="1"/>
  <c r="C13" i="1"/>
  <c r="S6" i="3" l="1"/>
  <c r="M9" i="3"/>
  <c r="L6" i="3"/>
  <c r="N6" i="3" s="1"/>
  <c r="N7" i="3"/>
  <c r="L4" i="3"/>
  <c r="N4" i="3" s="1"/>
  <c r="N5" i="3"/>
  <c r="H3" i="3"/>
  <c r="I3" i="3" s="1"/>
  <c r="G9" i="3"/>
  <c r="Q9" i="3"/>
  <c r="D9" i="3"/>
  <c r="R4" i="3"/>
  <c r="S4" i="3" s="1"/>
  <c r="E9" i="3" l="1"/>
  <c r="F9" i="3" s="1"/>
  <c r="E8" i="3"/>
  <c r="F8" i="3" s="1"/>
  <c r="E4" i="3"/>
  <c r="F4" i="3" s="1"/>
  <c r="E6" i="3"/>
  <c r="F6" i="3"/>
  <c r="L9" i="3"/>
  <c r="N9" i="3" s="1"/>
  <c r="R9" i="3"/>
  <c r="S9" i="3" s="1"/>
  <c r="T6" i="3" s="1"/>
  <c r="H4" i="1"/>
  <c r="H4" i="3"/>
  <c r="T4" i="3" l="1"/>
  <c r="O8" i="3"/>
  <c r="P8" i="3" s="1"/>
  <c r="O9" i="3"/>
  <c r="P9" i="3" s="1"/>
  <c r="O3" i="3"/>
  <c r="P3" i="3" s="1"/>
  <c r="O4" i="3"/>
  <c r="P4" i="3" s="1"/>
  <c r="T9" i="3"/>
  <c r="T3" i="3"/>
  <c r="O6" i="3"/>
  <c r="P6" i="3" s="1"/>
  <c r="H9" i="3"/>
  <c r="I9" i="3" s="1"/>
  <c r="J3" i="3" s="1"/>
  <c r="I4" i="3"/>
  <c r="H13" i="1"/>
  <c r="H14" i="1"/>
  <c r="J4" i="3" l="1"/>
  <c r="J9" i="3"/>
  <c r="J6" i="3"/>
</calcChain>
</file>

<file path=xl/sharedStrings.xml><?xml version="1.0" encoding="utf-8"?>
<sst xmlns="http://schemas.openxmlformats.org/spreadsheetml/2006/main" count="333" uniqueCount="180">
  <si>
    <t>Coastal</t>
  </si>
  <si>
    <t>Open Ocean</t>
  </si>
  <si>
    <t>HAMOC-RIVER ALL</t>
  </si>
  <si>
    <t>ICON-COAST ALL</t>
  </si>
  <si>
    <t>NOAA SST</t>
  </si>
  <si>
    <t>HadISST</t>
  </si>
  <si>
    <t>COBEsst</t>
  </si>
  <si>
    <t>CMEMS-LSCE</t>
  </si>
  <si>
    <t>OceanSODA-ETHZ</t>
  </si>
  <si>
    <t>VGPM-Standard</t>
  </si>
  <si>
    <t>0.03762 **</t>
  </si>
  <si>
    <t>Ito et al. 2019</t>
  </si>
  <si>
    <t>SST Average 1975-1985[°C ]</t>
  </si>
  <si>
    <t>H+ Average 1975-1985 10^9 [M]</t>
  </si>
  <si>
    <t>NPP Average 1975-1985 [Pg C yr-1 ]</t>
  </si>
  <si>
    <t>O2 Average 1975-1985[mg O2 l-1]</t>
  </si>
  <si>
    <t>ICON-COAST</t>
  </si>
  <si>
    <t>RivClimCO2</t>
  </si>
  <si>
    <t>ClimCO2</t>
  </si>
  <si>
    <t>HAMOCC-RIVER</t>
  </si>
  <si>
    <t>CO2-only simulation</t>
  </si>
  <si>
    <t>SST trend 1980-2020 [°C]</t>
  </si>
  <si>
    <t>H+ trend 1980-2020[10^9 M]</t>
  </si>
  <si>
    <t>NPP trend 1980-2020 [Pg C yr-1]</t>
  </si>
  <si>
    <t>O2 trend 1980-2020 [mg l-1]</t>
  </si>
  <si>
    <t>River-induced</t>
  </si>
  <si>
    <t>Climate-induced</t>
  </si>
  <si>
    <t>Observation and Model Mean</t>
  </si>
  <si>
    <t>Standard Deviation</t>
  </si>
  <si>
    <t>ALL (Total) CHANGE</t>
  </si>
  <si>
    <t>Simulations</t>
  </si>
  <si>
    <t>SST</t>
  </si>
  <si>
    <t>pH</t>
  </si>
  <si>
    <t>NPP</t>
  </si>
  <si>
    <t>O2</t>
  </si>
  <si>
    <t>Index</t>
  </si>
  <si>
    <t>Name</t>
  </si>
  <si>
    <t>MARCATS Classification</t>
  </si>
  <si>
    <t>River/Ocean Dominated</t>
  </si>
  <si>
    <t>SST ALL</t>
  </si>
  <si>
    <t>H+ CO2+CLIM</t>
  </si>
  <si>
    <t>H+ ALL</t>
  </si>
  <si>
    <t>NPP CO2+CLIM</t>
  </si>
  <si>
    <t>NPP ALL</t>
  </si>
  <si>
    <t>Oxygen CO2+CLIM</t>
  </si>
  <si>
    <t>Oxygen ALL</t>
  </si>
  <si>
    <t>North-eastern Pacific</t>
  </si>
  <si>
    <t>Subpolar</t>
  </si>
  <si>
    <t>Ocean</t>
  </si>
  <si>
    <t>California Current</t>
  </si>
  <si>
    <t>Eastern Boundary Current</t>
  </si>
  <si>
    <t>Tropical Eastern Pacific</t>
  </si>
  <si>
    <t>Tropical</t>
  </si>
  <si>
    <t>Peruvian Upwelling Current</t>
  </si>
  <si>
    <t>South America</t>
  </si>
  <si>
    <t>Brazilian Current</t>
  </si>
  <si>
    <t>Western Boundary Current</t>
  </si>
  <si>
    <t>Tropical Western Atlantic</t>
  </si>
  <si>
    <t>River</t>
  </si>
  <si>
    <t>Caribbean Sea</t>
  </si>
  <si>
    <t>Gulf of Mexico</t>
  </si>
  <si>
    <t>Marginal</t>
  </si>
  <si>
    <t>Florida Upwelling</t>
  </si>
  <si>
    <t>Sea of Labrador</t>
  </si>
  <si>
    <t>Hudson Bay</t>
  </si>
  <si>
    <t>Canadian Archipelagos</t>
  </si>
  <si>
    <t>Polar</t>
  </si>
  <si>
    <t>Northern Greenland</t>
  </si>
  <si>
    <t>Southern Greenland</t>
  </si>
  <si>
    <t>Norwegian Basin</t>
  </si>
  <si>
    <t>North-eastern Atlantic</t>
  </si>
  <si>
    <t>Baltic Sea</t>
  </si>
  <si>
    <t>Iberian Upwelling</t>
  </si>
  <si>
    <t>Mediterranean Sea</t>
  </si>
  <si>
    <t>Black Sea</t>
  </si>
  <si>
    <t>Moroccan Upwelling</t>
  </si>
  <si>
    <t>Tropical Eastern Atlantic</t>
  </si>
  <si>
    <t>South-western Africa</t>
  </si>
  <si>
    <t>Agulhas Current</t>
  </si>
  <si>
    <t>Tropical Western Indian</t>
  </si>
  <si>
    <t>Western Arabian Sea</t>
  </si>
  <si>
    <t>Monsunal</t>
  </si>
  <si>
    <t>Red Sea</t>
  </si>
  <si>
    <t>Persian Gulf</t>
  </si>
  <si>
    <t>Eastern Arabian Sea</t>
  </si>
  <si>
    <t>Northern Bay of Bengal</t>
  </si>
  <si>
    <t>Tropical Eastern Indian</t>
  </si>
  <si>
    <t>Leeuwin Current</t>
  </si>
  <si>
    <t>Southern Australia</t>
  </si>
  <si>
    <t>Eastern Australia Current</t>
  </si>
  <si>
    <t>New Zealand</t>
  </si>
  <si>
    <t>Northern Australia</t>
  </si>
  <si>
    <t>South East Asia</t>
  </si>
  <si>
    <t>China Sea and Kuroshio</t>
  </si>
  <si>
    <t>Sea of Japan</t>
  </si>
  <si>
    <t>Marginal Sea</t>
  </si>
  <si>
    <t>Sea Okhotsk</t>
  </si>
  <si>
    <t xml:space="preserve">Marginal Sea </t>
  </si>
  <si>
    <t>North-western Pacific</t>
  </si>
  <si>
    <t>Siberian Shelves</t>
  </si>
  <si>
    <t>Barents and Karra Seas</t>
  </si>
  <si>
    <t>Antarctic Shelves</t>
  </si>
  <si>
    <t>Models/Observational Products</t>
  </si>
  <si>
    <t>Ito et al., 2024</t>
  </si>
  <si>
    <t>** means a non significant trend</t>
  </si>
  <si>
    <t>SST Change 1980-2022[°C ]</t>
  </si>
  <si>
    <t>H+ Change 1980-2022 10^9 [M]</t>
  </si>
  <si>
    <t>O2 Change 1980-2022[°C ]</t>
  </si>
  <si>
    <t>Model Average</t>
  </si>
  <si>
    <t>NPP Change 1980-2022[Pg C yr-1 ]</t>
  </si>
  <si>
    <t>Percent of absolute change</t>
  </si>
  <si>
    <t>Total Change from observation/model mean</t>
  </si>
  <si>
    <t>Relative Model Absolute Change</t>
  </si>
  <si>
    <t>Trend [°C ppm-1 CO2]</t>
  </si>
  <si>
    <t>Trend [ 10-9M ppm-1CO2 ]</t>
  </si>
  <si>
    <t>Trend [ Tg C yr-1 (Tg N yr-1)-1 ]</t>
  </si>
  <si>
    <t>Trend [ mg O2 L-1 ppm-1 CO2 ]</t>
  </si>
  <si>
    <t>Observational Mean</t>
  </si>
  <si>
    <t>SST HAMOCC</t>
  </si>
  <si>
    <t>SST ICON</t>
  </si>
  <si>
    <t>Model Median</t>
  </si>
  <si>
    <t>Total Median</t>
  </si>
  <si>
    <t>Total Mean</t>
  </si>
  <si>
    <t>Total Standard Deviation</t>
  </si>
  <si>
    <t>SSP scenario</t>
  </si>
  <si>
    <t>Atmospheric CO2 [ppm]</t>
  </si>
  <si>
    <t>Global River N [Tg N yr-1]</t>
  </si>
  <si>
    <t>SSP1</t>
  </si>
  <si>
    <t>SSP2</t>
  </si>
  <si>
    <t>SSP3</t>
  </si>
  <si>
    <t>SSP4</t>
  </si>
  <si>
    <t>SSP5</t>
  </si>
  <si>
    <t>Min</t>
  </si>
  <si>
    <t>Max</t>
  </si>
  <si>
    <t>Median</t>
  </si>
  <si>
    <t>Projections</t>
  </si>
  <si>
    <t>Driver Increases</t>
  </si>
  <si>
    <t>Ecosystem Stressor Trends from In-Situ Measurements</t>
  </si>
  <si>
    <t>SST [°C]</t>
  </si>
  <si>
    <r>
      <t>H</t>
    </r>
    <r>
      <rPr>
        <b/>
        <vertAlign val="superscript"/>
        <sz val="7.2"/>
        <color rgb="FF000000"/>
        <rFont val="Times New Roman"/>
        <family val="1"/>
      </rPr>
      <t>+</t>
    </r>
    <r>
      <rPr>
        <b/>
        <sz val="10"/>
        <color rgb="FF000000"/>
        <rFont val="Times New Roman"/>
        <family val="1"/>
      </rPr>
      <t xml:space="preserve"> [10</t>
    </r>
    <r>
      <rPr>
        <b/>
        <vertAlign val="superscript"/>
        <sz val="7.2"/>
        <color rgb="FF000000"/>
        <rFont val="Times New Roman"/>
        <family val="1"/>
      </rPr>
      <t>-9</t>
    </r>
    <r>
      <rPr>
        <b/>
        <sz val="10"/>
        <color rgb="FF000000"/>
        <rFont val="Times New Roman"/>
        <family val="1"/>
      </rPr>
      <t xml:space="preserve"> M yr</t>
    </r>
    <r>
      <rPr>
        <b/>
        <vertAlign val="superscript"/>
        <sz val="7.2"/>
        <color rgb="FF000000"/>
        <rFont val="Times New Roman"/>
        <family val="1"/>
      </rPr>
      <t>-2</t>
    </r>
    <r>
      <rPr>
        <b/>
        <sz val="10"/>
        <color rgb="FF000000"/>
        <rFont val="Times New Roman"/>
        <family val="1"/>
      </rPr>
      <t>]</t>
    </r>
  </si>
  <si>
    <t>Gulf of Alaska</t>
  </si>
  <si>
    <t>https://www.sciencedirect.com/science/article/pii/S0967064522001400</t>
  </si>
  <si>
    <t>Barents Sea</t>
  </si>
  <si>
    <t>4.0-6.2</t>
  </si>
  <si>
    <t>https://www.nature.com/articles/s41598-022-13568-5</t>
  </si>
  <si>
    <t>https://www.sciencedirect.com/science/article/pii/S0078323423000817</t>
  </si>
  <si>
    <r>
      <t>0.022 10</t>
    </r>
    <r>
      <rPr>
        <vertAlign val="superscript"/>
        <sz val="7.2"/>
        <color rgb="FF000000"/>
        <rFont val="Times New Roman"/>
        <family val="1"/>
      </rPr>
      <t>-9</t>
    </r>
    <r>
      <rPr>
        <sz val="10"/>
        <color rgb="FF000000"/>
        <rFont val="Times New Roman"/>
        <family val="1"/>
      </rPr>
      <t xml:space="preserve"> M yr</t>
    </r>
    <r>
      <rPr>
        <vertAlign val="superscript"/>
        <sz val="7.2"/>
        <color rgb="FF000000"/>
        <rFont val="Times New Roman"/>
        <family val="1"/>
      </rPr>
      <t>-2</t>
    </r>
  </si>
  <si>
    <t>North Sea</t>
  </si>
  <si>
    <t>https://journals.ametsoc.org/view/journals/clim/29/7/jcli-d-15-0663.1.xml</t>
  </si>
  <si>
    <t>NewFoundland</t>
  </si>
  <si>
    <t>Kessler et al., 2022</t>
  </si>
  <si>
    <t>Scotian Shelf</t>
  </si>
  <si>
    <t>Northeastern US</t>
  </si>
  <si>
    <t>South Eastern US</t>
  </si>
  <si>
    <t>California Current System</t>
  </si>
  <si>
    <t>https://journals.ametsoc.org/view/journals/phoc/35/3/jpo-2690.1.xml</t>
  </si>
  <si>
    <t>East China Sea</t>
  </si>
  <si>
    <t>https://www.frontiersin.org/journals/marine-science/articles/10.3389/fmars.2024.1452125/full</t>
  </si>
  <si>
    <t>Chesapeake Bay</t>
  </si>
  <si>
    <t>https://onlinelibrary.wiley.com/doi/10.1111/1752-1688.12916</t>
  </si>
  <si>
    <t>Bay of Bengal</t>
  </si>
  <si>
    <t>https://www.spiedigitallibrary.org/journals/journal-of-applied-remote-sensing/volume-16/issue-01/018502/Surface-temperature-and-salinity-in-the-northern-Bay-of-Bengal/10.1117/1.JRS.16.018502.full</t>
  </si>
  <si>
    <t>Louisiana Shelf</t>
  </si>
  <si>
    <t>North Brazil Shelf</t>
  </si>
  <si>
    <t>East Brazil Shelf</t>
  </si>
  <si>
    <t>South Brazil Shelf</t>
  </si>
  <si>
    <t>Patagonia</t>
  </si>
  <si>
    <t>Guinea Current</t>
  </si>
  <si>
    <t>Canary Current</t>
  </si>
  <si>
    <t>Iberian Coast</t>
  </si>
  <si>
    <t>Bay of Biscay</t>
  </si>
  <si>
    <t>Norwegian Sea</t>
  </si>
  <si>
    <t>Okhotsk Sea</t>
  </si>
  <si>
    <t>https://www.sciencedirect.com/science/article/pii/S0924796325000156</t>
  </si>
  <si>
    <t xml:space="preserve">Red Sea </t>
  </si>
  <si>
    <t>https://www.sciencedirect.com/science/article/pii/S0078323419300442</t>
  </si>
  <si>
    <r>
      <t>0.035±0.015 10</t>
    </r>
    <r>
      <rPr>
        <b/>
        <vertAlign val="superscript"/>
        <sz val="7.2"/>
        <color rgb="FF000000"/>
        <rFont val="Times New Roman"/>
        <family val="1"/>
      </rPr>
      <t>-9</t>
    </r>
    <r>
      <rPr>
        <b/>
        <sz val="10"/>
        <color rgb="FF000000"/>
        <rFont val="Times New Roman"/>
        <family val="1"/>
      </rPr>
      <t xml:space="preserve"> M yr</t>
    </r>
    <r>
      <rPr>
        <b/>
        <vertAlign val="superscript"/>
        <sz val="7.2"/>
        <color rgb="FF000000"/>
        <rFont val="Times New Roman"/>
        <family val="1"/>
      </rPr>
      <t>-2</t>
    </r>
  </si>
  <si>
    <t>Average</t>
  </si>
  <si>
    <t>Regional STD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</si>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</sst>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(Body)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b/>
      <vertAlign val="superscript"/>
      <sz val="7.2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7.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9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journals.ametsoc.org/view/journals/clim/29/7/jcli-d-15-0663.1.xml" TargetMode="External"/><Relationship Id="rId2" Type="http://schemas.openxmlformats.org/officeDocument/2006/relationships/hyperlink" Target="https://www.sciencedirect.com/science/article/pii/S0078323423000817" TargetMode="External"/><Relationship Id="rId1" Type="http://schemas.openxmlformats.org/officeDocument/2006/relationships/hyperlink" Target="https://www.nature.com/articles/s41598-022-13568-5" TargetMode="External"/><Relationship Id="rId6" Type="http://schemas.openxmlformats.org/officeDocument/2006/relationships/hyperlink" Target="https://www.spiedigitallibrary.org/journals/journal-of-applied-remote-sensing/volume-16/issue-01/018502/Surface-temperature-and-salinity-in-the-northern-Bay-of-Bengal/10.1117/1.JRS.16.018502.full" TargetMode="External"/><Relationship Id="rId5" Type="http://schemas.openxmlformats.org/officeDocument/2006/relationships/hyperlink" Target="https://onlinelibrary.wiley.com/doi/10.1111/1752-1688.12916" TargetMode="External"/><Relationship Id="rId4" Type="http://schemas.openxmlformats.org/officeDocument/2006/relationships/hyperlink" Target="https://www.frontiersin.org/journals/marine-science/articles/10.3389/fmars.2024.1452125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EC34-8742-4F48-9C1A-62BFC56AFDFE}">
  <dimension ref="A1:I17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1" width="32.5" customWidth="1"/>
    <col min="3" max="3" width="17.1640625" customWidth="1"/>
    <col min="4" max="4" width="25.5" customWidth="1"/>
    <col min="5" max="5" width="26.6640625" customWidth="1"/>
    <col min="6" max="6" width="36.6640625" customWidth="1"/>
    <col min="7" max="7" width="17" customWidth="1"/>
  </cols>
  <sheetData>
    <row r="1" spans="1:9" x14ac:dyDescent="0.2">
      <c r="B1" s="3" t="s">
        <v>105</v>
      </c>
      <c r="C1" s="3"/>
      <c r="D1" s="3" t="s">
        <v>106</v>
      </c>
      <c r="E1" s="3"/>
      <c r="F1" s="3" t="s">
        <v>109</v>
      </c>
      <c r="G1" s="3"/>
      <c r="H1" s="3" t="s">
        <v>107</v>
      </c>
      <c r="I1" s="3"/>
    </row>
    <row r="2" spans="1:9" x14ac:dyDescent="0.2">
      <c r="A2" s="3" t="s">
        <v>102</v>
      </c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</row>
    <row r="3" spans="1:9" x14ac:dyDescent="0.2">
      <c r="A3" t="s">
        <v>2</v>
      </c>
      <c r="B3">
        <f>'Supplement Table 3'!B7</f>
        <v>0.68130000000000002</v>
      </c>
      <c r="C3">
        <v>0.35220000000000001</v>
      </c>
      <c r="D3">
        <f>'Supplement Table 3'!G7</f>
        <v>1.3212999999999999</v>
      </c>
      <c r="E3">
        <v>0.70418999999999998</v>
      </c>
      <c r="F3">
        <v>0.35171000000000002</v>
      </c>
      <c r="G3">
        <v>0.56940000000000002</v>
      </c>
      <c r="H3">
        <f>'Supplement Table 3'!Q7</f>
        <v>-3.8800000000000001E-2</v>
      </c>
      <c r="I3">
        <v>-2.4570000000000002E-2</v>
      </c>
    </row>
    <row r="4" spans="1:9" x14ac:dyDescent="0.2">
      <c r="A4" t="s">
        <v>3</v>
      </c>
      <c r="B4">
        <f>'Supplement Table 3'!C7</f>
        <v>0.7752</v>
      </c>
      <c r="C4">
        <v>0.34855999999999998</v>
      </c>
      <c r="D4">
        <f>'Supplement Table 3'!H7</f>
        <v>1.341</v>
      </c>
      <c r="E4">
        <v>1.0642</v>
      </c>
      <c r="F4">
        <v>0.46555999999999997</v>
      </c>
      <c r="H4">
        <f>'Supplement Table 3'!R4</f>
        <v>-7.5600000000000001E-2</v>
      </c>
      <c r="I4">
        <v>-4.351E-2</v>
      </c>
    </row>
    <row r="5" spans="1:9" x14ac:dyDescent="0.2">
      <c r="A5" t="s">
        <v>4</v>
      </c>
      <c r="B5">
        <v>0.59219999999999995</v>
      </c>
      <c r="C5">
        <v>0.53608999999999996</v>
      </c>
    </row>
    <row r="6" spans="1:9" x14ac:dyDescent="0.2">
      <c r="A6" t="s">
        <v>5</v>
      </c>
      <c r="B6">
        <v>0.65190000000000003</v>
      </c>
      <c r="C6">
        <v>0.31135000000000002</v>
      </c>
    </row>
    <row r="7" spans="1:9" x14ac:dyDescent="0.2">
      <c r="A7" t="s">
        <v>6</v>
      </c>
      <c r="B7">
        <v>0.58260000000000001</v>
      </c>
      <c r="C7">
        <v>0.42309999999999998</v>
      </c>
    </row>
    <row r="8" spans="1:9" x14ac:dyDescent="0.2">
      <c r="A8" t="s">
        <v>7</v>
      </c>
      <c r="D8">
        <v>1.1576</v>
      </c>
      <c r="E8">
        <v>0.61209999999999998</v>
      </c>
    </row>
    <row r="9" spans="1:9" x14ac:dyDescent="0.2">
      <c r="A9" t="s">
        <v>8</v>
      </c>
      <c r="D9">
        <v>1.2753000000000001</v>
      </c>
      <c r="E9">
        <v>0.59119999999999995</v>
      </c>
    </row>
    <row r="10" spans="1:9" x14ac:dyDescent="0.2">
      <c r="A10" t="s">
        <v>9</v>
      </c>
      <c r="F10">
        <v>0.61733000000000005</v>
      </c>
      <c r="G10" t="s">
        <v>10</v>
      </c>
    </row>
    <row r="11" spans="1:9" x14ac:dyDescent="0.2">
      <c r="A11" t="s">
        <v>11</v>
      </c>
      <c r="H11">
        <v>-8.2710000000000006E-2</v>
      </c>
      <c r="I11">
        <v>-3.7620000000000001E-2</v>
      </c>
    </row>
    <row r="12" spans="1:9" x14ac:dyDescent="0.2">
      <c r="A12" t="s">
        <v>103</v>
      </c>
      <c r="H12">
        <v>-0.185</v>
      </c>
      <c r="I12">
        <v>-4.5699999999999998E-2</v>
      </c>
    </row>
    <row r="13" spans="1:9" x14ac:dyDescent="0.2">
      <c r="A13" s="3" t="s">
        <v>27</v>
      </c>
      <c r="B13" s="3">
        <f>AVERAGE(B3:B7)</f>
        <v>0.65664</v>
      </c>
      <c r="C13" s="3">
        <f>AVERAGE(C3:C7)</f>
        <v>0.39426</v>
      </c>
      <c r="D13" s="3">
        <f>AVERAGE(D3:D4,D8:D9)</f>
        <v>1.2738</v>
      </c>
      <c r="E13" s="3">
        <f>AVERAGE(E3:E4,E8:E9)</f>
        <v>0.74292249999999993</v>
      </c>
      <c r="F13" s="3">
        <f>AVERAGE(F3:F4,F10)</f>
        <v>0.47820000000000001</v>
      </c>
      <c r="G13" s="3"/>
      <c r="H13" s="3">
        <f>AVERAGE(H3:H4,H11:H12)</f>
        <v>-9.5527500000000001E-2</v>
      </c>
      <c r="I13" s="3">
        <f>AVERAGE(I3:I4,I11:I12)</f>
        <v>-3.7850000000000002E-2</v>
      </c>
    </row>
    <row r="14" spans="1:9" x14ac:dyDescent="0.2">
      <c r="A14" s="3" t="s">
        <v>28</v>
      </c>
      <c r="B14" s="3">
        <f>_xlfn.STDEV.P(B4:B7)</f>
        <v>7.6748530116218669E-2</v>
      </c>
      <c r="C14" s="3">
        <f>_xlfn.STDEV.P(C3:C7)</f>
        <v>7.9597859518959285E-2</v>
      </c>
      <c r="D14" s="3">
        <f>_xlfn.STDEV.P(D3:D4,D8:D9)</f>
        <v>7.1198279473594014E-2</v>
      </c>
      <c r="E14" s="3">
        <f>_xlfn.STDEV.P(E3:E4,E8:E9)</f>
        <v>0.19029824097650008</v>
      </c>
      <c r="F14" s="3">
        <f>_xlfn.STDEV.P(F3:F4,F10)</f>
        <v>0.10880662755549397</v>
      </c>
      <c r="G14" s="3"/>
      <c r="H14" s="3">
        <f>_xlfn.STDEV.P(H3:H4,H11:H12)</f>
        <v>5.4278750618911631E-2</v>
      </c>
      <c r="I14" s="3">
        <f>_xlfn.STDEV.P(I3:I4,I11:I12)</f>
        <v>8.2168941821103968E-3</v>
      </c>
    </row>
    <row r="17" spans="7:7" x14ac:dyDescent="0.2">
      <c r="G17" t="s">
        <v>104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3948-60BA-4DCE-87F6-8062D2D4C1EB}">
  <dimension ref="A1:I14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28.83203125" customWidth="1"/>
    <col min="2" max="2" width="15.83203125" customWidth="1"/>
    <col min="3" max="3" width="18.1640625" customWidth="1"/>
    <col min="4" max="4" width="16" customWidth="1"/>
    <col min="5" max="5" width="22.6640625" customWidth="1"/>
    <col min="6" max="6" width="18.5" customWidth="1"/>
    <col min="7" max="7" width="15.1640625" customWidth="1"/>
    <col min="8" max="8" width="20.5" customWidth="1"/>
  </cols>
  <sheetData>
    <row r="1" spans="1:9" x14ac:dyDescent="0.2">
      <c r="B1" s="3" t="s">
        <v>12</v>
      </c>
      <c r="C1" s="3"/>
      <c r="D1" s="3" t="s">
        <v>13</v>
      </c>
      <c r="E1" s="3"/>
      <c r="F1" s="3" t="s">
        <v>14</v>
      </c>
      <c r="G1" s="3"/>
      <c r="H1" s="3" t="s">
        <v>15</v>
      </c>
    </row>
    <row r="2" spans="1:9" x14ac:dyDescent="0.2">
      <c r="A2" s="3" t="s">
        <v>102</v>
      </c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</row>
    <row r="4" spans="1:9" x14ac:dyDescent="0.2">
      <c r="A4" t="s">
        <v>2</v>
      </c>
      <c r="B4">
        <v>12.562279999999999</v>
      </c>
      <c r="C4" s="2">
        <v>17.973849999999999</v>
      </c>
      <c r="D4">
        <v>8.2178000000000004</v>
      </c>
      <c r="E4">
        <v>13.5381</v>
      </c>
      <c r="F4">
        <v>3.7180300000000002</v>
      </c>
      <c r="G4">
        <v>43.94</v>
      </c>
      <c r="H4">
        <v>0.19749</v>
      </c>
    </row>
    <row r="5" spans="1:9" x14ac:dyDescent="0.2">
      <c r="A5" t="s">
        <v>3</v>
      </c>
      <c r="B5">
        <v>12.88782</v>
      </c>
      <c r="C5">
        <v>12.88782</v>
      </c>
      <c r="D5">
        <v>8.0045000000000002</v>
      </c>
      <c r="E5">
        <v>7.7638999999999996</v>
      </c>
      <c r="F5">
        <v>4.5042299999999997</v>
      </c>
      <c r="G5">
        <v>42.81</v>
      </c>
      <c r="H5">
        <v>0.17052</v>
      </c>
    </row>
    <row r="6" spans="1:9" x14ac:dyDescent="0.2">
      <c r="A6" t="s">
        <v>4</v>
      </c>
      <c r="B6">
        <v>16.938690000000001</v>
      </c>
      <c r="C6">
        <v>16.94276</v>
      </c>
    </row>
    <row r="7" spans="1:9" x14ac:dyDescent="0.2">
      <c r="A7" t="s">
        <v>5</v>
      </c>
      <c r="B7" s="1">
        <v>14.83067</v>
      </c>
      <c r="C7">
        <v>17.484909999999999</v>
      </c>
    </row>
    <row r="8" spans="1:9" x14ac:dyDescent="0.2">
      <c r="A8" t="s">
        <v>6</v>
      </c>
      <c r="B8" s="1">
        <v>13.652799999999999</v>
      </c>
      <c r="C8">
        <v>16.424669999999999</v>
      </c>
    </row>
    <row r="9" spans="1:9" x14ac:dyDescent="0.2">
      <c r="A9" t="s">
        <v>7</v>
      </c>
      <c r="D9">
        <v>7.5677199999999996</v>
      </c>
      <c r="E9">
        <v>9.9312000000000005</v>
      </c>
    </row>
    <row r="10" spans="1:9" x14ac:dyDescent="0.2">
      <c r="A10" t="s">
        <v>8</v>
      </c>
      <c r="D10">
        <v>7.6339399999999999</v>
      </c>
      <c r="E10">
        <v>7.7611999999999997</v>
      </c>
    </row>
    <row r="11" spans="1:9" x14ac:dyDescent="0.2">
      <c r="A11" t="s">
        <v>9</v>
      </c>
      <c r="F11">
        <v>4.6822999999999997</v>
      </c>
      <c r="G11">
        <v>43.82</v>
      </c>
    </row>
    <row r="12" spans="1:9" x14ac:dyDescent="0.2">
      <c r="A12" t="s">
        <v>11</v>
      </c>
      <c r="H12">
        <v>0.25681999999999999</v>
      </c>
    </row>
    <row r="14" spans="1:9" x14ac:dyDescent="0.2">
      <c r="A14" s="3" t="s">
        <v>27</v>
      </c>
      <c r="B14" s="3">
        <f>AVERAGE(B4:B8)</f>
        <v>14.174451999999999</v>
      </c>
      <c r="C14" s="3">
        <f>AVERAGE(C4:C8)</f>
        <v>16.342801999999999</v>
      </c>
      <c r="D14" s="3">
        <f>AVERAGE(D4:D5,D9:D10)</f>
        <v>7.8559899999999994</v>
      </c>
      <c r="E14" s="3">
        <f>AVERAGE(E4:E5,E9:E10)</f>
        <v>9.7485999999999997</v>
      </c>
      <c r="F14" s="3">
        <f>AVERAGE(F4:F5,F11)</f>
        <v>4.30152</v>
      </c>
      <c r="G14" s="3">
        <f>AVERAGE(G4:G5,G11)</f>
        <v>43.523333333333333</v>
      </c>
      <c r="H14" s="3">
        <f>AVERAGE(H4:H5,H12)</f>
        <v>0.20827666666666667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EE67-E723-448E-9F59-10F03A36C5E4}">
  <dimension ref="A1:U9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23.6640625" customWidth="1"/>
    <col min="2" max="2" width="14.6640625" customWidth="1"/>
    <col min="3" max="3" width="17.6640625" customWidth="1"/>
    <col min="4" max="4" width="11.83203125" customWidth="1"/>
    <col min="5" max="5" width="15.33203125" customWidth="1"/>
    <col min="6" max="6" width="11.6640625" customWidth="1"/>
    <col min="7" max="7" width="17.1640625" customWidth="1"/>
    <col min="8" max="8" width="14.1640625" customWidth="1"/>
    <col min="9" max="9" width="13.83203125" customWidth="1"/>
    <col min="21" max="21" width="12.33203125" bestFit="1" customWidth="1"/>
  </cols>
  <sheetData>
    <row r="1" spans="1:21" ht="19" x14ac:dyDescent="0.25">
      <c r="D1" s="5" t="s">
        <v>21</v>
      </c>
      <c r="I1" s="5" t="s">
        <v>22</v>
      </c>
      <c r="N1" s="5" t="s">
        <v>23</v>
      </c>
      <c r="S1" s="5" t="s">
        <v>24</v>
      </c>
    </row>
    <row r="2" spans="1:21" x14ac:dyDescent="0.2">
      <c r="A2" s="3" t="s">
        <v>30</v>
      </c>
      <c r="B2" s="3" t="s">
        <v>19</v>
      </c>
      <c r="C2" s="3" t="s">
        <v>16</v>
      </c>
      <c r="D2" s="3" t="s">
        <v>108</v>
      </c>
      <c r="E2" s="3" t="s">
        <v>112</v>
      </c>
      <c r="F2" s="3" t="s">
        <v>111</v>
      </c>
      <c r="G2" s="3" t="s">
        <v>19</v>
      </c>
      <c r="H2" s="3" t="s">
        <v>16</v>
      </c>
      <c r="I2" s="3" t="s">
        <v>108</v>
      </c>
      <c r="J2" s="3" t="s">
        <v>110</v>
      </c>
      <c r="K2" s="3" t="s">
        <v>111</v>
      </c>
      <c r="L2" s="3" t="s">
        <v>19</v>
      </c>
      <c r="M2" s="3" t="s">
        <v>16</v>
      </c>
      <c r="N2" s="3" t="s">
        <v>108</v>
      </c>
      <c r="O2" s="3" t="s">
        <v>110</v>
      </c>
      <c r="P2" s="3" t="s">
        <v>111</v>
      </c>
      <c r="Q2" s="3" t="s">
        <v>19</v>
      </c>
      <c r="R2" s="3" t="s">
        <v>16</v>
      </c>
      <c r="S2" s="3" t="s">
        <v>108</v>
      </c>
      <c r="T2" s="3" t="s">
        <v>110</v>
      </c>
      <c r="U2" s="3" t="s">
        <v>111</v>
      </c>
    </row>
    <row r="3" spans="1:21" x14ac:dyDescent="0.2">
      <c r="A3" t="s">
        <v>20</v>
      </c>
      <c r="B3">
        <v>0</v>
      </c>
      <c r="C3">
        <v>0</v>
      </c>
      <c r="D3">
        <v>0</v>
      </c>
      <c r="E3">
        <v>0</v>
      </c>
      <c r="G3">
        <v>1.4689000000000001</v>
      </c>
      <c r="H3">
        <f>-G4/G3*H5+H5</f>
        <v>1.4875577166587242</v>
      </c>
      <c r="I3">
        <f>AVERAGE(G3,H3)</f>
        <v>1.4782288583293621</v>
      </c>
      <c r="J3">
        <f>ABS(I3)/$I$9</f>
        <v>0.90259312674476344</v>
      </c>
      <c r="K3">
        <f>1.2748*J3</f>
        <v>1.1506257179742243</v>
      </c>
      <c r="L3">
        <v>-0.03</v>
      </c>
      <c r="M3">
        <v>0</v>
      </c>
      <c r="N3">
        <f>AVERAGE(L3,M3)</f>
        <v>-1.4999999999999999E-2</v>
      </c>
      <c r="O3">
        <f>ABS(N3)/$N$9</f>
        <v>3.4197777144485603E-2</v>
      </c>
      <c r="P3">
        <f>O3*0.4782</f>
        <v>1.6353377030493017E-2</v>
      </c>
      <c r="Q3">
        <v>5.9999999999999995E-4</v>
      </c>
      <c r="R3">
        <v>0</v>
      </c>
      <c r="S3">
        <f>AVERAGE(Q3,R3)</f>
        <v>2.9999999999999997E-4</v>
      </c>
      <c r="T3">
        <f>ABS(S3)/$S$9</f>
        <v>4.6805523051720093E-3</v>
      </c>
      <c r="U3">
        <f>T3*-0.0953</f>
        <v>-4.4605663468289246E-4</v>
      </c>
    </row>
    <row r="4" spans="1:21" x14ac:dyDescent="0.2">
      <c r="A4" t="s">
        <v>26</v>
      </c>
      <c r="B4">
        <f>B5-B3</f>
        <v>0.68130000000000002</v>
      </c>
      <c r="C4">
        <f>C5-C3</f>
        <v>0.7752</v>
      </c>
      <c r="D4">
        <f t="shared" ref="D4:D9" si="0">AVERAGE(B4,C4)</f>
        <v>0.72825000000000006</v>
      </c>
      <c r="E4">
        <f>D4/$D$9</f>
        <v>1</v>
      </c>
      <c r="F4">
        <f>E4*0.65664</f>
        <v>0.65664</v>
      </c>
      <c r="G4">
        <f>G5-G3</f>
        <v>-0.16005000000000003</v>
      </c>
      <c r="H4">
        <f>H5-H3</f>
        <v>-0.14615771665872423</v>
      </c>
      <c r="I4">
        <f t="shared" ref="I4:I9" si="1">AVERAGE(G4,H4)</f>
        <v>-0.15310385832936213</v>
      </c>
      <c r="J4">
        <f>ABS(I4)/$I$9</f>
        <v>9.3483826558739949E-2</v>
      </c>
      <c r="K4">
        <f t="shared" ref="K4:K9" si="2">1.2748*J4</f>
        <v>0.11917318209708168</v>
      </c>
      <c r="L4">
        <f>L5-L3</f>
        <v>0.16159999999999999</v>
      </c>
      <c r="M4">
        <f>M5-M3</f>
        <v>0.22559999999999999</v>
      </c>
      <c r="N4">
        <f t="shared" ref="N4:N9" si="3">AVERAGE(L4,M4)</f>
        <v>0.19359999999999999</v>
      </c>
      <c r="O4">
        <f t="shared" ref="O4:O9" si="4">ABS(N4)/$N$9</f>
        <v>0.44137931034482752</v>
      </c>
      <c r="P4">
        <f>O4*0.4782</f>
        <v>0.21106758620689653</v>
      </c>
      <c r="Q4">
        <f>Q5-Q3</f>
        <v>-4.4660000000000005E-2</v>
      </c>
      <c r="R4">
        <f>R5-R3</f>
        <v>-7.5600000000000001E-2</v>
      </c>
      <c r="S4">
        <f t="shared" ref="S4:S9" si="5">AVERAGE(Q4,R4)</f>
        <v>-6.0130000000000003E-2</v>
      </c>
      <c r="T4">
        <f>ABS(S4)/$S$9</f>
        <v>0.93813870036664315</v>
      </c>
      <c r="U4">
        <f t="shared" ref="U4:U9" si="6">T4*-0.0953</f>
        <v>-8.9404618144941092E-2</v>
      </c>
    </row>
    <row r="5" spans="1:21" x14ac:dyDescent="0.2">
      <c r="A5" t="s">
        <v>18</v>
      </c>
      <c r="B5">
        <v>0.68130000000000002</v>
      </c>
      <c r="C5">
        <v>0.7752</v>
      </c>
      <c r="D5">
        <f t="shared" si="0"/>
        <v>0.72825000000000006</v>
      </c>
      <c r="G5">
        <v>1.3088500000000001</v>
      </c>
      <c r="H5">
        <f>1.3414</f>
        <v>1.3413999999999999</v>
      </c>
      <c r="I5">
        <f t="shared" si="1"/>
        <v>1.3251249999999999</v>
      </c>
      <c r="L5">
        <f>0.1316</f>
        <v>0.13159999999999999</v>
      </c>
      <c r="M5">
        <v>0.22559999999999999</v>
      </c>
      <c r="N5">
        <f t="shared" si="3"/>
        <v>0.17859999999999998</v>
      </c>
      <c r="Q5">
        <v>-4.4060000000000002E-2</v>
      </c>
      <c r="R5">
        <f>-0.0756</f>
        <v>-7.5600000000000001E-2</v>
      </c>
      <c r="S5">
        <f t="shared" si="5"/>
        <v>-5.9830000000000001E-2</v>
      </c>
    </row>
    <row r="6" spans="1:21" x14ac:dyDescent="0.2">
      <c r="A6" t="s">
        <v>25</v>
      </c>
      <c r="B6">
        <f t="shared" ref="B6:C6" si="7">B7-B5</f>
        <v>0</v>
      </c>
      <c r="C6">
        <f t="shared" si="7"/>
        <v>0</v>
      </c>
      <c r="D6">
        <f t="shared" si="0"/>
        <v>0</v>
      </c>
      <c r="E6">
        <f>D6/$D$9</f>
        <v>0</v>
      </c>
      <c r="F6">
        <f>E6*0.65664</f>
        <v>0</v>
      </c>
      <c r="G6">
        <f>G7-G5</f>
        <v>1.244999999999985E-2</v>
      </c>
      <c r="H6">
        <f>H7-H5</f>
        <v>-3.9999999999995595E-4</v>
      </c>
      <c r="I6">
        <f t="shared" si="1"/>
        <v>6.0249999999999471E-3</v>
      </c>
      <c r="J6">
        <f t="shared" ref="J6:J9" si="8">ABS(I6)/$I$9</f>
        <v>3.6788103262867643E-3</v>
      </c>
      <c r="K6">
        <f t="shared" si="2"/>
        <v>4.6897474039503673E-3</v>
      </c>
      <c r="L6">
        <f>L7-L5</f>
        <v>0.22010000000000002</v>
      </c>
      <c r="M6">
        <f>M7-M5</f>
        <v>0.23995000000000002</v>
      </c>
      <c r="N6">
        <f t="shared" si="3"/>
        <v>0.23002500000000003</v>
      </c>
      <c r="O6">
        <f t="shared" si="4"/>
        <v>0.52442291251068684</v>
      </c>
      <c r="P6">
        <f>O6*0.4782</f>
        <v>0.25077903676261043</v>
      </c>
      <c r="Q6">
        <f>Q7-Q5</f>
        <v>5.2600000000000008E-3</v>
      </c>
      <c r="R6">
        <f>R7-R5</f>
        <v>-2.0700000000000024E-3</v>
      </c>
      <c r="S6">
        <f t="shared" si="5"/>
        <v>1.5949999999999992E-3</v>
      </c>
      <c r="T6">
        <f t="shared" ref="T6:T9" si="9">ABS(S6)/$S$9</f>
        <v>2.4884936422497839E-2</v>
      </c>
      <c r="U6">
        <f t="shared" si="6"/>
        <v>-2.371534441064044E-3</v>
      </c>
    </row>
    <row r="7" spans="1:21" x14ac:dyDescent="0.2">
      <c r="A7" t="s">
        <v>17</v>
      </c>
      <c r="B7">
        <v>0.68130000000000002</v>
      </c>
      <c r="C7">
        <v>0.7752</v>
      </c>
      <c r="D7">
        <f t="shared" si="0"/>
        <v>0.72825000000000006</v>
      </c>
      <c r="G7">
        <v>1.3212999999999999</v>
      </c>
      <c r="H7">
        <f>1.341</f>
        <v>1.341</v>
      </c>
      <c r="I7">
        <f t="shared" si="1"/>
        <v>1.3311500000000001</v>
      </c>
      <c r="L7">
        <f>0.3517</f>
        <v>0.35170000000000001</v>
      </c>
      <c r="M7">
        <v>0.46555000000000002</v>
      </c>
      <c r="N7">
        <f t="shared" si="3"/>
        <v>0.40862500000000002</v>
      </c>
      <c r="Q7">
        <f>-0.0388</f>
        <v>-3.8800000000000001E-2</v>
      </c>
      <c r="R7">
        <v>-7.7670000000000003E-2</v>
      </c>
      <c r="S7">
        <f t="shared" si="5"/>
        <v>-5.8235000000000002E-2</v>
      </c>
    </row>
    <row r="8" spans="1:21" x14ac:dyDescent="0.2">
      <c r="E8">
        <f>D8/$D$9</f>
        <v>0</v>
      </c>
      <c r="F8">
        <f>E8*0.65664</f>
        <v>0</v>
      </c>
      <c r="O8">
        <f t="shared" si="4"/>
        <v>0</v>
      </c>
      <c r="P8">
        <f>O8*0.65664</f>
        <v>0</v>
      </c>
    </row>
    <row r="9" spans="1:21" x14ac:dyDescent="0.2">
      <c r="A9" t="s">
        <v>29</v>
      </c>
      <c r="B9">
        <f>B7</f>
        <v>0.68130000000000002</v>
      </c>
      <c r="C9">
        <f>C7</f>
        <v>0.7752</v>
      </c>
      <c r="D9">
        <f t="shared" si="0"/>
        <v>0.72825000000000006</v>
      </c>
      <c r="E9">
        <f>D9/$D$9</f>
        <v>1</v>
      </c>
      <c r="F9">
        <f>0.65664*E9</f>
        <v>0.65664</v>
      </c>
      <c r="G9">
        <f>ABS(G3)+ABS(G4)+ABS(G6)</f>
        <v>1.6414</v>
      </c>
      <c r="H9">
        <f t="shared" ref="H9" si="10">ABS(H3)+ABS(H4)+ABS(H6)</f>
        <v>1.6341154333174484</v>
      </c>
      <c r="I9">
        <f t="shared" si="1"/>
        <v>1.637757716658724</v>
      </c>
      <c r="J9">
        <f t="shared" si="8"/>
        <v>1</v>
      </c>
      <c r="K9">
        <f t="shared" si="2"/>
        <v>1.2747999999999999</v>
      </c>
      <c r="L9">
        <f>ABS(L3)+ABS(L4)+ABS(L6)</f>
        <v>0.41170000000000001</v>
      </c>
      <c r="M9">
        <f>ABS(M3)+ABS(M4)+ABS(M6)</f>
        <v>0.46555000000000002</v>
      </c>
      <c r="N9">
        <f t="shared" si="3"/>
        <v>0.43862500000000004</v>
      </c>
      <c r="O9">
        <f t="shared" si="4"/>
        <v>1</v>
      </c>
      <c r="P9">
        <f>0.4782*O9</f>
        <v>0.47820000000000001</v>
      </c>
      <c r="Q9">
        <f>ABS(Q3)+ABS(Q4)+ABS(Q6)</f>
        <v>5.0520000000000009E-2</v>
      </c>
      <c r="R9">
        <f>ABS(R3)+ABS(R4)+ABS(R6)</f>
        <v>7.7670000000000003E-2</v>
      </c>
      <c r="S9">
        <f t="shared" si="5"/>
        <v>6.4095000000000013E-2</v>
      </c>
      <c r="T9">
        <f t="shared" si="9"/>
        <v>1</v>
      </c>
      <c r="U9">
        <f t="shared" si="6"/>
        <v>-9.5299999999999996E-2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1A5D-6937-4E37-B3A5-BB2F5D613C2F}">
  <dimension ref="A1:I1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9.5" customWidth="1"/>
    <col min="2" max="2" width="18.6640625" customWidth="1"/>
    <col min="3" max="3" width="18.1640625" customWidth="1"/>
    <col min="4" max="4" width="14.1640625" customWidth="1"/>
    <col min="5" max="5" width="16.5" customWidth="1"/>
    <col min="6" max="6" width="18.1640625" customWidth="1"/>
    <col min="7" max="7" width="20.5" customWidth="1"/>
    <col min="8" max="8" width="21.83203125" customWidth="1"/>
    <col min="9" max="9" width="26.33203125" customWidth="1"/>
  </cols>
  <sheetData>
    <row r="1" spans="1:9" x14ac:dyDescent="0.2">
      <c r="B1" t="s">
        <v>31</v>
      </c>
      <c r="C1" t="s">
        <v>32</v>
      </c>
      <c r="D1" t="s">
        <v>33</v>
      </c>
      <c r="E1" t="s">
        <v>34</v>
      </c>
    </row>
    <row r="2" spans="1:9" x14ac:dyDescent="0.2">
      <c r="B2" t="s">
        <v>113</v>
      </c>
      <c r="C2" t="s">
        <v>114</v>
      </c>
      <c r="D2" t="s">
        <v>115</v>
      </c>
      <c r="E2" t="s">
        <v>116</v>
      </c>
      <c r="F2" s="4"/>
      <c r="I2" s="4"/>
    </row>
    <row r="3" spans="1:9" ht="16" x14ac:dyDescent="0.25">
      <c r="B3" s="6">
        <v>7.0110704121094797E-3</v>
      </c>
      <c r="C3" s="6">
        <v>1.6847999999999998E-2</v>
      </c>
      <c r="D3" s="6">
        <v>2.2519999999999998</v>
      </c>
      <c r="E3" s="6">
        <v>1.41E-3</v>
      </c>
      <c r="F3" s="4"/>
      <c r="I3" s="4"/>
    </row>
    <row r="4" spans="1:9" ht="16" x14ac:dyDescent="0.25">
      <c r="B4" s="6">
        <v>8.1167907605367608E-3</v>
      </c>
      <c r="C4" s="6">
        <v>1.4433700000000001E-2</v>
      </c>
      <c r="D4" s="6"/>
      <c r="E4" s="6">
        <v>3.2100000000000002E-3</v>
      </c>
      <c r="F4" s="4"/>
      <c r="I4" s="4"/>
    </row>
    <row r="5" spans="1:9" x14ac:dyDescent="0.2">
      <c r="B5">
        <v>7.0977843562294498E-3</v>
      </c>
      <c r="F5" s="4"/>
      <c r="I5" s="4"/>
    </row>
    <row r="6" spans="1:9" ht="16" x14ac:dyDescent="0.2">
      <c r="A6" s="7" t="s">
        <v>117</v>
      </c>
      <c r="B6" s="7">
        <f>AVERAGE(B3:B5)</f>
        <v>7.4085485096252292E-3</v>
      </c>
      <c r="C6" s="7">
        <f>AVERAGE(C3:C4)</f>
        <v>1.5640849999999998E-2</v>
      </c>
      <c r="D6" s="7">
        <f>AVERAGE(D3)</f>
        <v>2.2519999999999998</v>
      </c>
      <c r="E6" s="7">
        <f>AVERAGE(E3:E4)</f>
        <v>2.31E-3</v>
      </c>
    </row>
    <row r="7" spans="1:9" x14ac:dyDescent="0.2">
      <c r="A7" t="s">
        <v>118</v>
      </c>
      <c r="B7">
        <v>8.1601535454905502E-3</v>
      </c>
      <c r="C7">
        <v>1.6369214372476199E-2</v>
      </c>
      <c r="D7">
        <v>1.234</v>
      </c>
      <c r="E7">
        <v>3.8999999999999999E-4</v>
      </c>
    </row>
    <row r="8" spans="1:9" x14ac:dyDescent="0.2">
      <c r="A8" t="s">
        <v>119</v>
      </c>
      <c r="B8">
        <v>9.4868827812556403E-3</v>
      </c>
      <c r="C8">
        <v>1.7044010169573499E-2</v>
      </c>
      <c r="D8">
        <v>1.59</v>
      </c>
      <c r="E8">
        <v>1.021E-3</v>
      </c>
    </row>
    <row r="9" spans="1:9" ht="16" x14ac:dyDescent="0.2">
      <c r="A9" s="7" t="s">
        <v>120</v>
      </c>
      <c r="B9" s="7">
        <f>AVERAGE(B7:B8)</f>
        <v>8.8235181633730952E-3</v>
      </c>
      <c r="C9" s="7">
        <f>AVERAGE(C7:C8)</f>
        <v>1.6706612271024851E-2</v>
      </c>
      <c r="D9" s="7">
        <f>AVERAGE(D7:D8)</f>
        <v>1.4119999999999999</v>
      </c>
      <c r="E9" s="7">
        <f>AVERAGE(E7:E8)</f>
        <v>7.0549999999999996E-4</v>
      </c>
    </row>
    <row r="10" spans="1:9" ht="16" x14ac:dyDescent="0.2">
      <c r="A10" s="7" t="s">
        <v>121</v>
      </c>
      <c r="B10" s="7">
        <f>MEDIAN(B3:B5,B7:B8)</f>
        <v>8.1167907605367608E-3</v>
      </c>
      <c r="C10" s="7">
        <f>MEDIAN(C3:C4,C7:C8)</f>
        <v>1.6608607186238099E-2</v>
      </c>
      <c r="D10" s="7">
        <f>MEDIAN(D3:D4,D7:D8)</f>
        <v>1.59</v>
      </c>
      <c r="E10" s="7">
        <f>MEDIAN(E3:E4,E7:E8)</f>
        <v>1.2155E-3</v>
      </c>
    </row>
    <row r="11" spans="1:9" ht="16" x14ac:dyDescent="0.2">
      <c r="A11" s="7" t="s">
        <v>122</v>
      </c>
      <c r="B11" s="7">
        <f>AVERAGE(B4:B6,B8:B9)</f>
        <v>8.1867049142040349E-3</v>
      </c>
      <c r="C11" s="7">
        <f>AVERAGE(C4:C5,C8:C9)</f>
        <v>1.6061440813532783E-2</v>
      </c>
      <c r="D11" s="7">
        <f>AVERAGE(D4:D5,D8:D9)</f>
        <v>1.5009999999999999</v>
      </c>
      <c r="E11" s="7">
        <f>AVERAGE(E3:E4,E7:E8)</f>
        <v>1.50775E-3</v>
      </c>
    </row>
    <row r="12" spans="1:9" ht="16" x14ac:dyDescent="0.2">
      <c r="A12" s="7" t="s">
        <v>123</v>
      </c>
      <c r="B12" s="7">
        <f>STDEV(B3:B5,B7:B8)</f>
        <v>1.0048435774744372E-3</v>
      </c>
      <c r="C12" s="7">
        <f>STDEV(C3:C4,C7:C8)</f>
        <v>1.1941449028810155E-3</v>
      </c>
      <c r="D12" s="7">
        <f>STDEV(D3:D4,D7:D8)</f>
        <v>0.5166081687313907</v>
      </c>
      <c r="E12" s="7">
        <f>STDEV(E3:E4,E7:E8)</f>
        <v>1.2101653812599336E-3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9663-E4B6-CF45-A3AB-79BBD1CBFBE3}">
  <dimension ref="A1:D28"/>
  <sheetViews>
    <sheetView topLeftCell="A2" workbookViewId="0">
      <selection activeCell="C32" sqref="C32"/>
    </sheetView>
  </sheetViews>
  <sheetFormatPr baseColWidth="10" defaultRowHeight="15" x14ac:dyDescent="0.2"/>
  <cols>
    <col min="3" max="3" width="41.5" customWidth="1"/>
    <col min="4" max="4" width="18.5" customWidth="1"/>
    <col min="5" max="5" width="23" customWidth="1"/>
  </cols>
  <sheetData>
    <row r="1" spans="1:4" x14ac:dyDescent="0.2">
      <c r="A1" s="8" t="s">
        <v>137</v>
      </c>
      <c r="B1" s="8" t="s">
        <v>138</v>
      </c>
      <c r="C1" s="8" t="s">
        <v>139</v>
      </c>
      <c r="D1" t="s">
        <v>179</v>
      </c>
    </row>
    <row r="3" spans="1:4" x14ac:dyDescent="0.2">
      <c r="A3" t="s">
        <v>140</v>
      </c>
      <c r="B3">
        <f>0.22*4</f>
        <v>0.88</v>
      </c>
      <c r="D3" t="s">
        <v>141</v>
      </c>
    </row>
    <row r="4" spans="1:4" x14ac:dyDescent="0.2">
      <c r="A4" s="9" t="s">
        <v>142</v>
      </c>
      <c r="B4" s="9" t="s">
        <v>143</v>
      </c>
      <c r="C4" s="9">
        <f>-(10^-(8.21))+10^-(8.21-2.64*0.001*40)</f>
        <v>1.6972622559693765E-9</v>
      </c>
      <c r="D4" s="10" t="s">
        <v>144</v>
      </c>
    </row>
    <row r="5" spans="1:4" x14ac:dyDescent="0.2">
      <c r="A5" s="9" t="s">
        <v>71</v>
      </c>
      <c r="B5" s="9">
        <f>2.4</f>
        <v>2.4</v>
      </c>
      <c r="C5" s="9" t="s">
        <v>146</v>
      </c>
      <c r="D5" s="10" t="s">
        <v>145</v>
      </c>
    </row>
    <row r="6" spans="1:4" x14ac:dyDescent="0.2">
      <c r="A6" s="9" t="s">
        <v>147</v>
      </c>
      <c r="B6" s="9">
        <v>2</v>
      </c>
      <c r="C6" s="9">
        <f>-(10^-(8.17))+10^-(8.17-0.0024*40)</f>
        <v>1.6725178237229341E-9</v>
      </c>
      <c r="D6" s="10" t="s">
        <v>148</v>
      </c>
    </row>
    <row r="7" spans="1:4" x14ac:dyDescent="0.2">
      <c r="A7" s="9" t="s">
        <v>149</v>
      </c>
      <c r="B7">
        <v>0.61</v>
      </c>
      <c r="D7" t="s">
        <v>150</v>
      </c>
    </row>
    <row r="8" spans="1:4" x14ac:dyDescent="0.2">
      <c r="A8" s="9" t="s">
        <v>151</v>
      </c>
      <c r="B8">
        <v>0.93</v>
      </c>
      <c r="D8" t="s">
        <v>150</v>
      </c>
    </row>
    <row r="9" spans="1:4" x14ac:dyDescent="0.2">
      <c r="A9" s="9" t="s">
        <v>152</v>
      </c>
      <c r="B9" s="9">
        <v>1.36</v>
      </c>
      <c r="D9" t="s">
        <v>150</v>
      </c>
    </row>
    <row r="10" spans="1:4" x14ac:dyDescent="0.2">
      <c r="A10" s="9" t="s">
        <v>153</v>
      </c>
      <c r="B10" s="9">
        <v>0.86</v>
      </c>
      <c r="D10" t="s">
        <v>150</v>
      </c>
    </row>
    <row r="11" spans="1:4" x14ac:dyDescent="0.2">
      <c r="A11" s="9" t="s">
        <v>154</v>
      </c>
      <c r="B11">
        <f>1.3*4/5</f>
        <v>1.04</v>
      </c>
      <c r="C11">
        <f>-(10^-(8.09))+10^-(8.09-0.0015*40)</f>
        <v>1.2042378463289105E-9</v>
      </c>
      <c r="D11" t="s">
        <v>155</v>
      </c>
    </row>
    <row r="12" spans="1:4" x14ac:dyDescent="0.2">
      <c r="A12" s="9" t="s">
        <v>156</v>
      </c>
      <c r="B12" s="9">
        <v>1.2</v>
      </c>
      <c r="C12" s="9">
        <f>-(10^-(8.06))+10^-(8.06-0.0033*40)</f>
        <v>3.0935704569564473E-9</v>
      </c>
      <c r="D12" s="10" t="s">
        <v>157</v>
      </c>
    </row>
    <row r="13" spans="1:4" x14ac:dyDescent="0.2">
      <c r="A13" s="9" t="s">
        <v>158</v>
      </c>
      <c r="B13" s="9">
        <v>0.8</v>
      </c>
      <c r="C13" s="8">
        <f>-(10^-(7.91))+10^-(7.91-(0.006+0.012-0.005)*40)</f>
        <v>2.8435340072287326E-8</v>
      </c>
      <c r="D13" s="10" t="s">
        <v>159</v>
      </c>
    </row>
    <row r="14" spans="1:4" x14ac:dyDescent="0.2">
      <c r="A14" s="9" t="s">
        <v>160</v>
      </c>
      <c r="B14" s="9">
        <v>0.5</v>
      </c>
      <c r="C14" s="9">
        <f>-(10^-(8.21))+10^-(8.21-0.004*40)</f>
        <v>2.7465593627226118E-9</v>
      </c>
      <c r="D14" s="10" t="s">
        <v>161</v>
      </c>
    </row>
    <row r="15" spans="1:4" x14ac:dyDescent="0.2">
      <c r="A15" s="9" t="s">
        <v>162</v>
      </c>
      <c r="B15" s="9">
        <v>1.6</v>
      </c>
      <c r="C15" s="9">
        <f>-(10^-(7.97))+10^-(7.97-0.0023*40)</f>
        <v>2.5282222995705833E-9</v>
      </c>
      <c r="D15" t="s">
        <v>150</v>
      </c>
    </row>
    <row r="16" spans="1:4" x14ac:dyDescent="0.2">
      <c r="A16" s="9" t="s">
        <v>163</v>
      </c>
      <c r="B16" s="9">
        <v>0.7</v>
      </c>
      <c r="D16" t="s">
        <v>150</v>
      </c>
    </row>
    <row r="17" spans="1:4" x14ac:dyDescent="0.2">
      <c r="A17" s="9" t="s">
        <v>164</v>
      </c>
      <c r="B17" s="9">
        <v>0.18</v>
      </c>
      <c r="D17" t="s">
        <v>150</v>
      </c>
    </row>
    <row r="18" spans="1:4" x14ac:dyDescent="0.2">
      <c r="A18" s="9" t="s">
        <v>165</v>
      </c>
      <c r="B18" s="9">
        <v>0.55000000000000004</v>
      </c>
      <c r="D18" t="s">
        <v>150</v>
      </c>
    </row>
    <row r="19" spans="1:4" x14ac:dyDescent="0.2">
      <c r="A19" s="9" t="s">
        <v>166</v>
      </c>
      <c r="B19" s="9">
        <v>-0.06</v>
      </c>
      <c r="D19" t="s">
        <v>150</v>
      </c>
    </row>
    <row r="20" spans="1:4" x14ac:dyDescent="0.2">
      <c r="A20" s="9" t="s">
        <v>167</v>
      </c>
      <c r="B20" s="9">
        <v>0.77</v>
      </c>
      <c r="D20" t="s">
        <v>150</v>
      </c>
    </row>
    <row r="21" spans="1:4" x14ac:dyDescent="0.2">
      <c r="A21" s="9" t="s">
        <v>168</v>
      </c>
      <c r="B21" s="9">
        <v>0.84</v>
      </c>
      <c r="D21" t="s">
        <v>150</v>
      </c>
    </row>
    <row r="22" spans="1:4" x14ac:dyDescent="0.2">
      <c r="A22" s="9" t="s">
        <v>169</v>
      </c>
      <c r="B22" s="9">
        <v>0.78</v>
      </c>
      <c r="D22" t="s">
        <v>150</v>
      </c>
    </row>
    <row r="23" spans="1:4" x14ac:dyDescent="0.2">
      <c r="A23" s="9" t="s">
        <v>170</v>
      </c>
      <c r="B23" s="9">
        <v>1.08</v>
      </c>
      <c r="D23" t="s">
        <v>150</v>
      </c>
    </row>
    <row r="24" spans="1:4" x14ac:dyDescent="0.2">
      <c r="A24" s="9" t="s">
        <v>171</v>
      </c>
      <c r="B24" s="9">
        <v>1.22</v>
      </c>
      <c r="D24" t="s">
        <v>150</v>
      </c>
    </row>
    <row r="25" spans="1:4" x14ac:dyDescent="0.2">
      <c r="A25" s="9" t="s">
        <v>172</v>
      </c>
      <c r="B25">
        <f>1.5</f>
        <v>1.5</v>
      </c>
      <c r="D25" t="s">
        <v>173</v>
      </c>
    </row>
    <row r="26" spans="1:4" x14ac:dyDescent="0.2">
      <c r="A26" s="9" t="s">
        <v>174</v>
      </c>
      <c r="B26">
        <f>0.029*40</f>
        <v>1.1600000000000001</v>
      </c>
      <c r="C26" s="8" t="s">
        <v>176</v>
      </c>
      <c r="D26" t="s">
        <v>175</v>
      </c>
    </row>
    <row r="27" spans="1:4" ht="16" x14ac:dyDescent="0.2">
      <c r="A27" s="8" t="s">
        <v>177</v>
      </c>
      <c r="B27" s="8">
        <f>AVERAGE(B3:B26)</f>
        <v>0.99565217391304328</v>
      </c>
      <c r="C27" s="7">
        <f>AVERAGE(C4:C6,C11:C15)</f>
        <v>5.911101445365456E-9</v>
      </c>
      <c r="D27" s="7"/>
    </row>
    <row r="28" spans="1:4" ht="16" x14ac:dyDescent="0.2">
      <c r="A28" s="8" t="s">
        <v>178</v>
      </c>
      <c r="B28" s="7">
        <f>STDEV(B4:B24)</f>
        <v>0.57158689536007401</v>
      </c>
      <c r="C28" s="7">
        <f>STDEV(C4:C12,C14:C15)</f>
        <v>7.3707366385975614E-10</v>
      </c>
      <c r="D28" s="7"/>
    </row>
  </sheetData>
  <hyperlinks>
    <hyperlink ref="D4" r:id="rId1" xr:uid="{2858516C-70CA-9F46-8327-844BCF617ABB}"/>
    <hyperlink ref="D5" r:id="rId2" xr:uid="{87EB91B3-4839-FE42-A980-425E947A4F27}"/>
    <hyperlink ref="D6" r:id="rId3" xr:uid="{C80702E0-4492-2E42-8C71-54A70C47FF1D}"/>
    <hyperlink ref="D12" r:id="rId4" xr:uid="{D024A5E5-B06C-6546-AF28-E34562589B48}"/>
    <hyperlink ref="D13" r:id="rId5" xr:uid="{F5200CF6-5268-AB4F-AAE8-6C8C53E27366}"/>
    <hyperlink ref="D14" r:id="rId6" xr:uid="{6F7CA468-B7A3-3148-B821-DFA9C04C21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8911-DA59-484C-81D3-FE7B4CAFCAF6}">
  <dimension ref="A1:F29"/>
  <sheetViews>
    <sheetView workbookViewId="0">
      <selection activeCell="I34" sqref="I34"/>
    </sheetView>
  </sheetViews>
  <sheetFormatPr baseColWidth="10" defaultRowHeight="15" x14ac:dyDescent="0.2"/>
  <sheetData>
    <row r="1" spans="1:6" ht="19" x14ac:dyDescent="0.25">
      <c r="A1" s="5" t="s">
        <v>136</v>
      </c>
      <c r="D1" s="3"/>
    </row>
    <row r="2" spans="1:6" x14ac:dyDescent="0.2">
      <c r="A2" s="3" t="s">
        <v>124</v>
      </c>
      <c r="B2" s="3" t="s">
        <v>125</v>
      </c>
      <c r="C2" s="3" t="s">
        <v>126</v>
      </c>
    </row>
    <row r="3" spans="1:6" x14ac:dyDescent="0.2">
      <c r="A3" t="s">
        <v>127</v>
      </c>
      <c r="B3">
        <v>26.519999999999982</v>
      </c>
      <c r="C3">
        <v>2</v>
      </c>
    </row>
    <row r="4" spans="1:6" x14ac:dyDescent="0.2">
      <c r="A4" t="s">
        <v>128</v>
      </c>
      <c r="B4">
        <v>173.8</v>
      </c>
      <c r="C4">
        <v>13</v>
      </c>
    </row>
    <row r="5" spans="1:6" x14ac:dyDescent="0.2">
      <c r="A5" t="s">
        <v>129</v>
      </c>
      <c r="B5">
        <v>250.7</v>
      </c>
      <c r="C5">
        <v>18</v>
      </c>
    </row>
    <row r="6" spans="1:6" x14ac:dyDescent="0.2">
      <c r="A6" t="s">
        <v>130</v>
      </c>
      <c r="B6">
        <v>240.1</v>
      </c>
      <c r="C6">
        <v>15</v>
      </c>
    </row>
    <row r="7" spans="1:6" x14ac:dyDescent="0.2">
      <c r="A7" t="s">
        <v>131</v>
      </c>
      <c r="B7">
        <v>703.8</v>
      </c>
      <c r="C7">
        <v>13</v>
      </c>
    </row>
    <row r="9" spans="1:6" ht="19" x14ac:dyDescent="0.25">
      <c r="A9" s="5" t="s">
        <v>135</v>
      </c>
    </row>
    <row r="10" spans="1:6" x14ac:dyDescent="0.2">
      <c r="C10" s="3" t="s">
        <v>31</v>
      </c>
      <c r="D10" s="3" t="s">
        <v>32</v>
      </c>
      <c r="E10" s="3" t="s">
        <v>33</v>
      </c>
      <c r="F10" s="3" t="s">
        <v>34</v>
      </c>
    </row>
    <row r="11" spans="1:6" x14ac:dyDescent="0.2">
      <c r="A11" s="3" t="s">
        <v>127</v>
      </c>
      <c r="B11" s="3" t="s">
        <v>132</v>
      </c>
      <c r="C11">
        <v>0.19046296265006879</v>
      </c>
      <c r="D11">
        <v>0.39428068755048457</v>
      </c>
      <c r="E11">
        <v>1.9687836625372184</v>
      </c>
      <c r="F11">
        <v>7.8919440889865522E-3</v>
      </c>
    </row>
    <row r="12" spans="1:6" x14ac:dyDescent="0.2">
      <c r="A12" s="3"/>
      <c r="B12" s="3" t="s">
        <v>133</v>
      </c>
      <c r="C12">
        <v>0.24375986599931293</v>
      </c>
      <c r="D12">
        <v>0.45761813319929362</v>
      </c>
      <c r="E12">
        <v>4.2132163374627813</v>
      </c>
      <c r="F12">
        <v>7.2079115911013389E-2</v>
      </c>
    </row>
    <row r="13" spans="1:6" x14ac:dyDescent="0.2">
      <c r="A13" s="3"/>
      <c r="B13" s="3" t="s">
        <v>134</v>
      </c>
      <c r="C13">
        <v>0.21525729096943474</v>
      </c>
      <c r="D13">
        <v>0.44046026257903409</v>
      </c>
      <c r="E13">
        <v>3.18</v>
      </c>
      <c r="F13">
        <v>3.2235059999999975E-2</v>
      </c>
    </row>
    <row r="14" spans="1:6" x14ac:dyDescent="0.2">
      <c r="A14" s="3" t="s">
        <v>128</v>
      </c>
      <c r="B14" s="3"/>
    </row>
    <row r="15" spans="1:6" x14ac:dyDescent="0.2">
      <c r="A15" s="3"/>
      <c r="B15" s="3" t="s">
        <v>132</v>
      </c>
      <c r="C15">
        <v>1.2482075003236042</v>
      </c>
      <c r="D15">
        <v>2.583936029271277</v>
      </c>
      <c r="E15">
        <v>12.797093806491919</v>
      </c>
      <c r="F15">
        <v>5.1720206737023516E-2</v>
      </c>
    </row>
    <row r="16" spans="1:6" x14ac:dyDescent="0.2">
      <c r="A16" s="3"/>
      <c r="B16" s="3" t="s">
        <v>133</v>
      </c>
      <c r="C16">
        <v>1.5974911278537185</v>
      </c>
      <c r="D16">
        <v>2.9990207975127183</v>
      </c>
      <c r="E16">
        <v>26.228906193508077</v>
      </c>
      <c r="F16">
        <v>0.47237369326297651</v>
      </c>
    </row>
    <row r="17" spans="1:6" x14ac:dyDescent="0.2">
      <c r="A17" s="3"/>
      <c r="B17" s="3" t="s">
        <v>134</v>
      </c>
      <c r="C17">
        <v>1.410698234181289</v>
      </c>
      <c r="D17">
        <v>2.8865759289681816</v>
      </c>
      <c r="E17">
        <v>20.67</v>
      </c>
      <c r="F17">
        <v>0.21125390000000002</v>
      </c>
    </row>
    <row r="18" spans="1:6" x14ac:dyDescent="0.2">
      <c r="A18" s="3" t="s">
        <v>129</v>
      </c>
      <c r="B18" s="3"/>
    </row>
    <row r="19" spans="1:6" x14ac:dyDescent="0.2">
      <c r="A19" s="3"/>
      <c r="B19" s="3" t="s">
        <v>132</v>
      </c>
      <c r="C19">
        <v>1.80049263711811</v>
      </c>
      <c r="D19">
        <v>3.727231084800398</v>
      </c>
      <c r="E19">
        <v>17.719052962834965</v>
      </c>
      <c r="F19">
        <v>7.4604463918134634E-2</v>
      </c>
    </row>
    <row r="20" spans="1:6" x14ac:dyDescent="0.2">
      <c r="A20" s="3"/>
      <c r="B20" s="3" t="s">
        <v>133</v>
      </c>
      <c r="C20">
        <v>2.304321206863793</v>
      </c>
      <c r="D20">
        <v>4.3259753391049394</v>
      </c>
      <c r="E20">
        <v>36.316947037165029</v>
      </c>
      <c r="F20">
        <v>0.68138138608186538</v>
      </c>
    </row>
    <row r="21" spans="1:6" x14ac:dyDescent="0.2">
      <c r="A21" s="3"/>
      <c r="B21" s="3" t="s">
        <v>134</v>
      </c>
      <c r="C21">
        <v>2.0348794436665658</v>
      </c>
      <c r="D21">
        <v>4.1637778215898908</v>
      </c>
      <c r="E21">
        <v>28.62</v>
      </c>
      <c r="F21">
        <v>0.30472584999999996</v>
      </c>
    </row>
    <row r="22" spans="1:6" x14ac:dyDescent="0.2">
      <c r="A22" s="3" t="s">
        <v>130</v>
      </c>
      <c r="B22" s="3"/>
    </row>
    <row r="23" spans="1:6" x14ac:dyDescent="0.2">
      <c r="A23" s="3"/>
      <c r="B23" s="3" t="s">
        <v>132</v>
      </c>
      <c r="C23">
        <v>1.7243649069487763</v>
      </c>
      <c r="D23">
        <v>3.5696377481474895</v>
      </c>
      <c r="E23">
        <v>14.765877469029135</v>
      </c>
      <c r="F23">
        <v>7.1450066959489966E-2</v>
      </c>
    </row>
    <row r="24" spans="1:6" x14ac:dyDescent="0.2">
      <c r="A24" s="3"/>
      <c r="B24" s="3" t="s">
        <v>133</v>
      </c>
      <c r="C24">
        <v>2.206890792852001</v>
      </c>
      <c r="D24">
        <v>4.1430661305109533</v>
      </c>
      <c r="E24">
        <v>30.264122530970859</v>
      </c>
      <c r="F24">
        <v>0.65257148304051005</v>
      </c>
    </row>
    <row r="25" spans="1:6" x14ac:dyDescent="0.2">
      <c r="A25" s="3"/>
      <c r="B25" s="3" t="s">
        <v>134</v>
      </c>
      <c r="C25">
        <v>1.9488414616048761</v>
      </c>
      <c r="D25">
        <v>3.9877265854157673</v>
      </c>
      <c r="E25">
        <v>23.85</v>
      </c>
      <c r="F25">
        <v>0.29184155000000001</v>
      </c>
    </row>
    <row r="26" spans="1:6" x14ac:dyDescent="0.2">
      <c r="A26" s="3" t="s">
        <v>131</v>
      </c>
      <c r="B26" s="3"/>
    </row>
    <row r="27" spans="1:6" x14ac:dyDescent="0.2">
      <c r="A27" s="3"/>
      <c r="B27" s="3" t="s">
        <v>132</v>
      </c>
      <c r="C27">
        <v>5.054594008790291</v>
      </c>
      <c r="D27">
        <v>10.463602861916712</v>
      </c>
      <c r="E27">
        <v>12.797093806491919</v>
      </c>
      <c r="F27">
        <v>0.20944005466925864</v>
      </c>
    </row>
    <row r="28" spans="1:6" x14ac:dyDescent="0.2">
      <c r="A28" s="3"/>
      <c r="B28" s="3" t="s">
        <v>133</v>
      </c>
      <c r="C28">
        <v>6.4690118284433087</v>
      </c>
      <c r="D28">
        <v>12.144481227212029</v>
      </c>
      <c r="E28">
        <v>26.228906193508077</v>
      </c>
      <c r="F28">
        <v>1.912868845330741</v>
      </c>
    </row>
    <row r="29" spans="1:6" x14ac:dyDescent="0.2">
      <c r="A29" s="3"/>
      <c r="B29" s="3" t="s">
        <v>134</v>
      </c>
      <c r="C29">
        <v>5.7125973372657715</v>
      </c>
      <c r="D29">
        <v>11.689137737674374</v>
      </c>
      <c r="E29">
        <v>20.67</v>
      </c>
      <c r="F29">
        <v>0.85546889999999998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DA17-B50B-4989-BBCD-4C24D2549034}">
  <dimension ref="A1:K46"/>
  <sheetViews>
    <sheetView topLeftCell="A12" workbookViewId="0">
      <selection activeCell="F5" sqref="F5"/>
    </sheetView>
  </sheetViews>
  <sheetFormatPr baseColWidth="10" defaultColWidth="8.83203125" defaultRowHeight="15" x14ac:dyDescent="0.2"/>
  <sheetData>
    <row r="1" spans="1:11" x14ac:dyDescent="0.2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</row>
    <row r="2" spans="1:11" x14ac:dyDescent="0.2">
      <c r="A2">
        <v>1</v>
      </c>
      <c r="B2" t="s">
        <v>46</v>
      </c>
      <c r="C2" t="s">
        <v>47</v>
      </c>
      <c r="D2" t="s">
        <v>48</v>
      </c>
      <c r="E2" s="4">
        <v>-0.28399999999999997</v>
      </c>
      <c r="F2" s="4">
        <v>1.0600000000000001E-9</v>
      </c>
      <c r="G2" s="4">
        <v>1.0999999999999999E-9</v>
      </c>
      <c r="H2" s="4">
        <v>18.899999999999999</v>
      </c>
      <c r="I2" s="4">
        <v>-53.8</v>
      </c>
      <c r="J2" s="4">
        <v>-6.07</v>
      </c>
      <c r="K2" s="4">
        <v>4.45</v>
      </c>
    </row>
    <row r="3" spans="1:11" x14ac:dyDescent="0.2">
      <c r="A3">
        <v>2</v>
      </c>
      <c r="B3" t="s">
        <v>49</v>
      </c>
      <c r="C3" t="s">
        <v>50</v>
      </c>
      <c r="D3" t="s">
        <v>48</v>
      </c>
      <c r="E3" s="4">
        <v>-0.23699999999999999</v>
      </c>
      <c r="F3" s="4">
        <v>1.0500000000000001E-9</v>
      </c>
      <c r="G3" s="4">
        <v>9.5999999999999999E-10</v>
      </c>
      <c r="H3" s="4">
        <v>29.4</v>
      </c>
      <c r="I3" s="4">
        <v>-49.1</v>
      </c>
      <c r="J3" s="4">
        <v>-9.32</v>
      </c>
      <c r="K3" s="4">
        <v>11.1</v>
      </c>
    </row>
    <row r="4" spans="1:11" x14ac:dyDescent="0.2">
      <c r="A4">
        <v>3</v>
      </c>
      <c r="B4" t="s">
        <v>51</v>
      </c>
      <c r="C4" t="s">
        <v>52</v>
      </c>
      <c r="D4" t="s">
        <v>48</v>
      </c>
      <c r="E4" s="4">
        <v>-0.72799999999999998</v>
      </c>
      <c r="F4" s="4">
        <v>5.7499999999999998E-10</v>
      </c>
      <c r="G4" s="4">
        <v>9.7900000000000003E-10</v>
      </c>
      <c r="H4" s="4">
        <v>106</v>
      </c>
      <c r="I4" s="4">
        <v>-91.3</v>
      </c>
      <c r="J4" s="4">
        <v>-21.1</v>
      </c>
      <c r="K4" s="4">
        <v>17.8</v>
      </c>
    </row>
    <row r="5" spans="1:11" x14ac:dyDescent="0.2">
      <c r="A5">
        <v>4</v>
      </c>
      <c r="B5" t="s">
        <v>53</v>
      </c>
      <c r="C5" t="s">
        <v>50</v>
      </c>
      <c r="D5" t="s">
        <v>48</v>
      </c>
      <c r="E5" s="4">
        <v>-0.86899999999999999</v>
      </c>
      <c r="F5" s="4">
        <v>5.5199999999999995E-10</v>
      </c>
      <c r="G5" s="4">
        <v>1.0399999999999999E-9</v>
      </c>
      <c r="H5" s="4">
        <v>117</v>
      </c>
      <c r="I5" s="4">
        <v>2.17</v>
      </c>
      <c r="J5" s="4">
        <v>-19</v>
      </c>
      <c r="K5" s="4">
        <v>0.48199999999999998</v>
      </c>
    </row>
    <row r="6" spans="1:11" x14ac:dyDescent="0.2">
      <c r="A6">
        <v>5</v>
      </c>
      <c r="B6" t="s">
        <v>54</v>
      </c>
      <c r="C6" t="s">
        <v>47</v>
      </c>
      <c r="D6" t="s">
        <v>48</v>
      </c>
      <c r="E6" s="4">
        <v>-0.192</v>
      </c>
      <c r="F6" s="4">
        <v>7.2999999999999996E-10</v>
      </c>
      <c r="G6" s="4">
        <v>1.0999999999999999E-9</v>
      </c>
      <c r="H6" s="4">
        <v>118</v>
      </c>
      <c r="I6" s="4">
        <v>8.69</v>
      </c>
      <c r="J6" s="4">
        <v>-8.59</v>
      </c>
      <c r="K6" s="4">
        <v>0.72</v>
      </c>
    </row>
    <row r="7" spans="1:11" x14ac:dyDescent="0.2">
      <c r="A7">
        <v>6</v>
      </c>
      <c r="B7" t="s">
        <v>55</v>
      </c>
      <c r="C7" t="s">
        <v>56</v>
      </c>
      <c r="D7" t="s">
        <v>48</v>
      </c>
      <c r="E7" s="4">
        <v>0.307</v>
      </c>
      <c r="F7" s="4">
        <v>6.3499999999999998E-10</v>
      </c>
      <c r="G7" s="4">
        <v>7.7300000000000002E-10</v>
      </c>
      <c r="H7" s="4">
        <v>136</v>
      </c>
      <c r="I7" s="4">
        <v>15</v>
      </c>
      <c r="J7" s="4">
        <v>-8.2200000000000006</v>
      </c>
      <c r="K7" s="4">
        <v>-1.1399999999999999</v>
      </c>
    </row>
    <row r="8" spans="1:11" x14ac:dyDescent="0.2">
      <c r="A8">
        <v>7</v>
      </c>
      <c r="B8" t="s">
        <v>57</v>
      </c>
      <c r="C8" t="s">
        <v>52</v>
      </c>
      <c r="D8" t="s">
        <v>58</v>
      </c>
      <c r="E8" s="4">
        <v>1.1200000000000001</v>
      </c>
      <c r="F8" s="4">
        <v>5.08E-10</v>
      </c>
      <c r="G8" s="4">
        <v>8.1899999999999996E-10</v>
      </c>
      <c r="H8" s="4">
        <v>57.8</v>
      </c>
      <c r="I8" s="4">
        <v>33.299999999999997</v>
      </c>
      <c r="J8" s="4">
        <v>-4.58</v>
      </c>
      <c r="K8" s="4">
        <v>-2.23</v>
      </c>
    </row>
    <row r="9" spans="1:11" x14ac:dyDescent="0.2">
      <c r="A9">
        <v>8</v>
      </c>
      <c r="B9" t="s">
        <v>59</v>
      </c>
      <c r="C9" t="s">
        <v>52</v>
      </c>
      <c r="D9" t="s">
        <v>48</v>
      </c>
      <c r="E9" s="4">
        <v>0.93100000000000005</v>
      </c>
      <c r="F9" s="4">
        <v>4.8999999999999996E-10</v>
      </c>
      <c r="G9" s="4">
        <v>8.7199999999999999E-10</v>
      </c>
      <c r="H9" s="4">
        <v>71.900000000000006</v>
      </c>
      <c r="I9" s="4">
        <v>-31.3</v>
      </c>
      <c r="J9" s="4">
        <v>-4.46</v>
      </c>
      <c r="K9" s="4">
        <v>1.56</v>
      </c>
    </row>
    <row r="10" spans="1:11" x14ac:dyDescent="0.2">
      <c r="A10">
        <v>9</v>
      </c>
      <c r="B10" t="s">
        <v>60</v>
      </c>
      <c r="C10" t="s">
        <v>61</v>
      </c>
      <c r="D10" t="s">
        <v>48</v>
      </c>
      <c r="E10" s="4">
        <v>0.58299999999999996</v>
      </c>
      <c r="F10" s="4">
        <v>1.2E-9</v>
      </c>
      <c r="G10" s="4">
        <v>8.7299999999999998E-10</v>
      </c>
      <c r="H10" s="4">
        <v>10.3</v>
      </c>
      <c r="I10" s="4">
        <v>-0.50900000000000001</v>
      </c>
      <c r="J10" s="4">
        <v>-0.79</v>
      </c>
      <c r="K10" s="4">
        <v>1.66</v>
      </c>
    </row>
    <row r="11" spans="1:11" x14ac:dyDescent="0.2">
      <c r="A11">
        <v>10</v>
      </c>
      <c r="B11" t="s">
        <v>62</v>
      </c>
      <c r="C11" t="s">
        <v>56</v>
      </c>
      <c r="D11" t="s">
        <v>48</v>
      </c>
      <c r="E11" s="4">
        <v>0.91900000000000004</v>
      </c>
      <c r="F11" s="4">
        <v>1.26E-9</v>
      </c>
      <c r="G11" s="4">
        <v>6.1099999999999996E-10</v>
      </c>
      <c r="H11" s="4">
        <v>14.5</v>
      </c>
      <c r="I11" s="4">
        <v>1.98</v>
      </c>
      <c r="J11" s="4">
        <v>-2.2400000000000002</v>
      </c>
      <c r="K11" s="4">
        <v>-2.54</v>
      </c>
    </row>
    <row r="12" spans="1:11" x14ac:dyDescent="0.2">
      <c r="A12">
        <v>11</v>
      </c>
      <c r="B12" t="s">
        <v>63</v>
      </c>
      <c r="C12" t="s">
        <v>47</v>
      </c>
      <c r="D12" t="s">
        <v>48</v>
      </c>
      <c r="E12" s="4">
        <v>1.37</v>
      </c>
      <c r="F12" s="4">
        <v>1.09E-9</v>
      </c>
      <c r="G12" s="4">
        <v>5.98E-10</v>
      </c>
      <c r="H12" s="4">
        <v>3.69</v>
      </c>
      <c r="I12" s="4">
        <v>3.1</v>
      </c>
      <c r="J12" s="4">
        <v>-2.56</v>
      </c>
      <c r="K12" s="4">
        <v>-2.77</v>
      </c>
    </row>
    <row r="13" spans="1:11" x14ac:dyDescent="0.2">
      <c r="A13">
        <v>12</v>
      </c>
      <c r="B13" t="s">
        <v>64</v>
      </c>
      <c r="C13" t="s">
        <v>61</v>
      </c>
      <c r="D13" t="s">
        <v>48</v>
      </c>
      <c r="E13" s="4">
        <v>0.75700000000000001</v>
      </c>
      <c r="F13" s="4">
        <v>9.9899999999999996E-10</v>
      </c>
      <c r="G13" s="4">
        <v>4.7300000000000002E-10</v>
      </c>
      <c r="H13" s="4">
        <v>14.3</v>
      </c>
      <c r="I13" s="4">
        <v>4.2</v>
      </c>
      <c r="J13" s="4">
        <v>-1.94</v>
      </c>
      <c r="K13" s="4">
        <v>-6.06</v>
      </c>
    </row>
    <row r="14" spans="1:11" x14ac:dyDescent="0.2">
      <c r="A14">
        <v>13</v>
      </c>
      <c r="B14" t="s">
        <v>65</v>
      </c>
      <c r="C14" t="s">
        <v>66</v>
      </c>
      <c r="D14" t="s">
        <v>48</v>
      </c>
      <c r="E14" s="4">
        <v>0.46100000000000002</v>
      </c>
      <c r="F14" s="4">
        <v>1.2199999999999999E-9</v>
      </c>
      <c r="G14" s="4">
        <v>5.8299999999999995E-10</v>
      </c>
      <c r="H14" s="4">
        <v>-19.899999999999999</v>
      </c>
      <c r="I14" s="4">
        <v>15</v>
      </c>
      <c r="J14" s="4">
        <v>-2.8</v>
      </c>
      <c r="K14" s="4">
        <v>-6.61</v>
      </c>
    </row>
    <row r="15" spans="1:11" x14ac:dyDescent="0.2">
      <c r="A15">
        <v>14</v>
      </c>
      <c r="B15" t="s">
        <v>67</v>
      </c>
      <c r="C15" t="s">
        <v>66</v>
      </c>
      <c r="D15" t="s">
        <v>48</v>
      </c>
      <c r="E15" s="4">
        <v>0.98</v>
      </c>
      <c r="F15" s="4">
        <v>1.1200000000000001E-9</v>
      </c>
      <c r="G15" s="4">
        <v>9.9899999999999996E-10</v>
      </c>
      <c r="H15" s="4">
        <v>-24.5</v>
      </c>
      <c r="I15" s="4">
        <v>-74.3</v>
      </c>
      <c r="J15" s="4">
        <v>-2.33</v>
      </c>
      <c r="K15" s="4">
        <v>0.36899999999999999</v>
      </c>
    </row>
    <row r="16" spans="1:11" x14ac:dyDescent="0.2">
      <c r="A16">
        <v>15</v>
      </c>
      <c r="B16" t="s">
        <v>68</v>
      </c>
      <c r="C16" t="s">
        <v>47</v>
      </c>
      <c r="D16" t="s">
        <v>48</v>
      </c>
      <c r="E16" s="4">
        <v>2.29</v>
      </c>
      <c r="F16" s="4">
        <v>1.1200000000000001E-9</v>
      </c>
      <c r="G16" s="4">
        <v>9.27E-10</v>
      </c>
      <c r="H16" s="4">
        <v>7.11</v>
      </c>
      <c r="I16" s="4">
        <v>-58.5</v>
      </c>
      <c r="J16" s="4">
        <v>-3.33</v>
      </c>
      <c r="K16" s="4">
        <v>0.54900000000000004</v>
      </c>
    </row>
    <row r="17" spans="1:11" x14ac:dyDescent="0.2">
      <c r="A17">
        <v>16</v>
      </c>
      <c r="B17" t="s">
        <v>69</v>
      </c>
      <c r="C17" t="s">
        <v>47</v>
      </c>
      <c r="D17" t="s">
        <v>48</v>
      </c>
      <c r="E17" s="4">
        <v>2.27</v>
      </c>
      <c r="F17" s="4">
        <v>1.0500000000000001E-9</v>
      </c>
      <c r="G17" s="4">
        <v>1.37E-9</v>
      </c>
      <c r="H17" s="4">
        <v>4.88</v>
      </c>
      <c r="I17" s="4">
        <v>-32.700000000000003</v>
      </c>
      <c r="J17" s="4">
        <v>-2.37</v>
      </c>
      <c r="K17" s="4">
        <v>-2.5499999999999998</v>
      </c>
    </row>
    <row r="18" spans="1:11" x14ac:dyDescent="0.2">
      <c r="A18">
        <v>17</v>
      </c>
      <c r="B18" t="s">
        <v>70</v>
      </c>
      <c r="C18" t="s">
        <v>47</v>
      </c>
      <c r="D18" t="s">
        <v>58</v>
      </c>
      <c r="E18" s="4">
        <v>1.54</v>
      </c>
      <c r="F18" s="4">
        <v>1.0999999999999999E-9</v>
      </c>
      <c r="G18" s="4">
        <v>1.21E-9</v>
      </c>
      <c r="H18" s="4">
        <v>11.6</v>
      </c>
      <c r="I18" s="4">
        <v>-1.34</v>
      </c>
      <c r="J18" s="4">
        <v>-1.97</v>
      </c>
      <c r="K18" s="4">
        <v>-2.83</v>
      </c>
    </row>
    <row r="19" spans="1:11" x14ac:dyDescent="0.2">
      <c r="A19">
        <v>18</v>
      </c>
      <c r="B19" t="s">
        <v>71</v>
      </c>
      <c r="C19" t="s">
        <v>61</v>
      </c>
      <c r="D19" t="s">
        <v>58</v>
      </c>
      <c r="E19" s="4">
        <v>1.83</v>
      </c>
      <c r="F19" s="4">
        <v>1.0500000000000001E-9</v>
      </c>
      <c r="G19" s="4">
        <v>1.1800000000000001E-9</v>
      </c>
      <c r="H19" s="4">
        <v>18.399999999999999</v>
      </c>
      <c r="I19" s="4">
        <v>4.7</v>
      </c>
      <c r="J19" s="4">
        <v>-1.97</v>
      </c>
      <c r="K19" s="4">
        <v>-2.08</v>
      </c>
    </row>
    <row r="20" spans="1:11" x14ac:dyDescent="0.2">
      <c r="A20">
        <v>19</v>
      </c>
      <c r="B20" t="s">
        <v>72</v>
      </c>
      <c r="C20" t="s">
        <v>50</v>
      </c>
      <c r="D20" t="s">
        <v>48</v>
      </c>
      <c r="E20" s="4">
        <v>0.65800000000000003</v>
      </c>
      <c r="F20" s="4">
        <v>9.6799999999999997E-10</v>
      </c>
      <c r="G20" s="4">
        <v>1.19E-9</v>
      </c>
      <c r="H20" s="4">
        <v>-4.18</v>
      </c>
      <c r="I20" s="4">
        <v>13.8</v>
      </c>
      <c r="J20" s="4">
        <v>-6.44</v>
      </c>
      <c r="K20" s="4">
        <v>-2.12</v>
      </c>
    </row>
    <row r="21" spans="1:11" x14ac:dyDescent="0.2">
      <c r="A21">
        <v>20</v>
      </c>
      <c r="B21" t="s">
        <v>73</v>
      </c>
      <c r="C21" t="s">
        <v>61</v>
      </c>
      <c r="D21" t="s">
        <v>58</v>
      </c>
      <c r="E21" s="4">
        <v>1.76</v>
      </c>
      <c r="F21" s="4">
        <v>9.9400000000000008E-10</v>
      </c>
      <c r="G21" s="4">
        <v>8.9500000000000001E-10</v>
      </c>
      <c r="H21" s="4">
        <v>7.6</v>
      </c>
      <c r="I21" s="4">
        <v>36.5</v>
      </c>
      <c r="J21" s="4">
        <v>-3.86</v>
      </c>
      <c r="K21" s="4">
        <v>-0.28699999999999998</v>
      </c>
    </row>
    <row r="22" spans="1:11" x14ac:dyDescent="0.2">
      <c r="A22">
        <v>21</v>
      </c>
      <c r="B22" t="s">
        <v>74</v>
      </c>
      <c r="C22" t="s">
        <v>61</v>
      </c>
      <c r="D22" t="s">
        <v>58</v>
      </c>
      <c r="E22" s="4">
        <v>3.55</v>
      </c>
      <c r="F22" s="4">
        <v>1.3600000000000001E-9</v>
      </c>
      <c r="G22" s="4">
        <v>9.2300000000000002E-10</v>
      </c>
      <c r="H22" s="4">
        <v>-5.75</v>
      </c>
      <c r="I22" s="4">
        <v>30.8</v>
      </c>
      <c r="J22" s="4">
        <v>-5.58</v>
      </c>
      <c r="K22" s="4">
        <v>-7.4400000000000004E-3</v>
      </c>
    </row>
    <row r="23" spans="1:11" x14ac:dyDescent="0.2">
      <c r="A23">
        <v>22</v>
      </c>
      <c r="B23" t="s">
        <v>75</v>
      </c>
      <c r="C23" t="s">
        <v>50</v>
      </c>
      <c r="D23" t="s">
        <v>48</v>
      </c>
      <c r="E23" s="4">
        <v>1.04</v>
      </c>
      <c r="F23" s="4">
        <v>1.27E-9</v>
      </c>
      <c r="G23" s="4">
        <v>1.32E-9</v>
      </c>
      <c r="H23" s="4">
        <v>1.45</v>
      </c>
      <c r="I23" s="4">
        <v>41.8</v>
      </c>
      <c r="J23" s="4">
        <v>-6.16</v>
      </c>
      <c r="K23" s="4">
        <v>-0.96299999999999997</v>
      </c>
    </row>
    <row r="24" spans="1:11" x14ac:dyDescent="0.2">
      <c r="A24">
        <v>23</v>
      </c>
      <c r="B24" t="s">
        <v>76</v>
      </c>
      <c r="C24" t="s">
        <v>52</v>
      </c>
      <c r="D24" t="s">
        <v>48</v>
      </c>
      <c r="E24" s="4">
        <v>1.48</v>
      </c>
      <c r="F24" s="4">
        <v>1.5199999999999999E-9</v>
      </c>
      <c r="G24" s="4">
        <v>1.26E-9</v>
      </c>
      <c r="H24" s="4">
        <v>1.79</v>
      </c>
      <c r="I24" s="4">
        <v>32.6</v>
      </c>
      <c r="J24" s="4">
        <v>-11.3</v>
      </c>
      <c r="K24" s="4">
        <v>-0.96199999999999997</v>
      </c>
    </row>
    <row r="25" spans="1:11" x14ac:dyDescent="0.2">
      <c r="A25">
        <v>24</v>
      </c>
      <c r="B25" t="s">
        <v>77</v>
      </c>
      <c r="C25" t="s">
        <v>50</v>
      </c>
      <c r="D25" t="s">
        <v>48</v>
      </c>
      <c r="E25" s="4">
        <v>1.18</v>
      </c>
      <c r="F25" s="4">
        <v>1.9399999999999999E-9</v>
      </c>
      <c r="G25" s="4">
        <v>8.0300000000000002E-10</v>
      </c>
      <c r="H25" s="4">
        <v>2.0099999999999998</v>
      </c>
      <c r="I25" s="4">
        <v>26.1</v>
      </c>
      <c r="J25" s="4">
        <v>-10</v>
      </c>
      <c r="K25" s="4">
        <v>-10.199999999999999</v>
      </c>
    </row>
    <row r="26" spans="1:11" x14ac:dyDescent="0.2">
      <c r="A26">
        <v>25</v>
      </c>
      <c r="B26" t="s">
        <v>78</v>
      </c>
      <c r="C26" t="s">
        <v>56</v>
      </c>
      <c r="D26" t="s">
        <v>48</v>
      </c>
      <c r="E26" s="4">
        <v>0.68400000000000005</v>
      </c>
      <c r="F26" s="4">
        <v>1.6500000000000001E-9</v>
      </c>
      <c r="G26" s="4">
        <v>7.2699999999999997E-10</v>
      </c>
      <c r="H26" s="4">
        <v>9.6300000000000008</v>
      </c>
      <c r="I26" s="4">
        <v>22.9</v>
      </c>
      <c r="J26" s="4">
        <v>1.43</v>
      </c>
      <c r="K26" s="4">
        <v>-10.7</v>
      </c>
    </row>
    <row r="27" spans="1:11" x14ac:dyDescent="0.2">
      <c r="A27">
        <v>26</v>
      </c>
      <c r="B27" t="s">
        <v>79</v>
      </c>
      <c r="C27" t="s">
        <v>52</v>
      </c>
      <c r="D27" t="s">
        <v>48</v>
      </c>
      <c r="E27" s="4">
        <v>0.81200000000000006</v>
      </c>
      <c r="F27" s="4">
        <v>1.3500000000000001E-9</v>
      </c>
      <c r="G27" s="4">
        <v>1.15E-9</v>
      </c>
      <c r="H27" s="4">
        <v>11.5</v>
      </c>
      <c r="I27" s="4">
        <v>17.3</v>
      </c>
      <c r="J27" s="4">
        <v>1.82</v>
      </c>
      <c r="K27" s="4">
        <v>1.1499999999999999</v>
      </c>
    </row>
    <row r="28" spans="1:11" x14ac:dyDescent="0.2">
      <c r="A28">
        <v>27</v>
      </c>
      <c r="B28" t="s">
        <v>80</v>
      </c>
      <c r="C28" t="s">
        <v>81</v>
      </c>
      <c r="D28" t="s">
        <v>48</v>
      </c>
      <c r="E28" s="4">
        <v>1.43</v>
      </c>
      <c r="F28" s="4">
        <v>1.19E-9</v>
      </c>
      <c r="G28" s="4">
        <v>1.07E-9</v>
      </c>
      <c r="H28" s="4">
        <v>-9.5600000000000004E-2</v>
      </c>
      <c r="I28" s="4">
        <v>16.899999999999999</v>
      </c>
      <c r="J28" s="4">
        <v>-3.55</v>
      </c>
      <c r="K28" s="4">
        <v>3.02</v>
      </c>
    </row>
    <row r="29" spans="1:11" x14ac:dyDescent="0.2">
      <c r="A29">
        <v>28</v>
      </c>
      <c r="B29" t="s">
        <v>82</v>
      </c>
      <c r="C29" t="s">
        <v>61</v>
      </c>
      <c r="D29" t="s">
        <v>58</v>
      </c>
      <c r="E29" s="4">
        <v>1.22</v>
      </c>
      <c r="F29" s="4">
        <v>1.13E-9</v>
      </c>
      <c r="G29" s="4">
        <v>1.27E-9</v>
      </c>
      <c r="H29" s="4">
        <v>-1.89</v>
      </c>
      <c r="I29" s="4">
        <v>30.5</v>
      </c>
      <c r="J29" s="4">
        <v>-2.35</v>
      </c>
      <c r="K29" s="4">
        <v>-4.55</v>
      </c>
    </row>
    <row r="30" spans="1:11" x14ac:dyDescent="0.2">
      <c r="A30">
        <v>29</v>
      </c>
      <c r="B30" t="s">
        <v>83</v>
      </c>
      <c r="C30" t="s">
        <v>61</v>
      </c>
      <c r="D30" t="s">
        <v>58</v>
      </c>
      <c r="E30" s="4">
        <v>1.93</v>
      </c>
      <c r="F30" s="4">
        <v>1.3999999999999999E-9</v>
      </c>
      <c r="G30" s="4">
        <v>1.1599999999999999E-9</v>
      </c>
      <c r="H30" s="4">
        <v>-2.23</v>
      </c>
      <c r="I30" s="4">
        <v>59.3</v>
      </c>
      <c r="J30" s="4">
        <v>-13.8</v>
      </c>
      <c r="K30" s="4">
        <v>-5.03</v>
      </c>
    </row>
    <row r="31" spans="1:11" x14ac:dyDescent="0.2">
      <c r="A31">
        <v>30</v>
      </c>
      <c r="B31" t="s">
        <v>84</v>
      </c>
      <c r="C31" t="s">
        <v>81</v>
      </c>
      <c r="D31" t="s">
        <v>48</v>
      </c>
      <c r="E31" s="4">
        <v>1.58</v>
      </c>
      <c r="F31" s="4">
        <v>1.43E-9</v>
      </c>
      <c r="G31" s="4">
        <v>1.2799999999999999E-9</v>
      </c>
      <c r="H31" s="4">
        <v>8.7499999999999994E-2</v>
      </c>
      <c r="I31" s="4">
        <v>25</v>
      </c>
      <c r="J31" s="4">
        <v>-14.6</v>
      </c>
      <c r="K31" s="4">
        <v>-4.38</v>
      </c>
    </row>
    <row r="32" spans="1:11" x14ac:dyDescent="0.2">
      <c r="A32">
        <v>31</v>
      </c>
      <c r="B32" t="s">
        <v>85</v>
      </c>
      <c r="C32" t="s">
        <v>81</v>
      </c>
      <c r="D32" t="s">
        <v>58</v>
      </c>
      <c r="E32" s="4">
        <v>1.28</v>
      </c>
      <c r="F32" s="4">
        <v>1.1599999999999999E-9</v>
      </c>
      <c r="G32" s="4">
        <v>1.1700000000000001E-9</v>
      </c>
      <c r="H32" s="4">
        <v>-0.91100000000000003</v>
      </c>
      <c r="I32" s="4">
        <v>52.1</v>
      </c>
      <c r="J32" s="4">
        <v>-13.1</v>
      </c>
      <c r="K32" s="4">
        <v>-4.8899999999999997</v>
      </c>
    </row>
    <row r="33" spans="1:11" x14ac:dyDescent="0.2">
      <c r="A33">
        <v>32</v>
      </c>
      <c r="B33" t="s">
        <v>86</v>
      </c>
      <c r="C33" t="s">
        <v>52</v>
      </c>
      <c r="D33" t="s">
        <v>58</v>
      </c>
      <c r="E33" s="4">
        <v>0.90400000000000003</v>
      </c>
      <c r="F33" s="4">
        <v>1.1800000000000001E-9</v>
      </c>
      <c r="G33" s="4">
        <v>1.1200000000000001E-9</v>
      </c>
      <c r="H33" s="4">
        <v>4.25</v>
      </c>
      <c r="I33" s="4">
        <v>2.68</v>
      </c>
      <c r="J33" s="4">
        <v>-14.1</v>
      </c>
      <c r="K33" s="4">
        <v>-2.89</v>
      </c>
    </row>
    <row r="34" spans="1:11" x14ac:dyDescent="0.2">
      <c r="A34">
        <v>33</v>
      </c>
      <c r="B34" t="s">
        <v>87</v>
      </c>
      <c r="C34" t="s">
        <v>50</v>
      </c>
      <c r="D34" t="s">
        <v>48</v>
      </c>
      <c r="E34" s="4">
        <v>-5.2299999999999999E-2</v>
      </c>
      <c r="F34" s="4">
        <v>1.2900000000000001E-9</v>
      </c>
      <c r="G34" s="4">
        <v>1.01E-9</v>
      </c>
      <c r="H34" s="4">
        <v>-3.59</v>
      </c>
      <c r="I34" s="4">
        <v>36.700000000000003</v>
      </c>
      <c r="J34" s="4">
        <v>-8.9499999999999993</v>
      </c>
      <c r="K34" s="4">
        <v>-3.29</v>
      </c>
    </row>
    <row r="35" spans="1:11" x14ac:dyDescent="0.2">
      <c r="A35">
        <v>34</v>
      </c>
      <c r="B35" t="s">
        <v>88</v>
      </c>
      <c r="C35" t="s">
        <v>47</v>
      </c>
      <c r="D35" t="s">
        <v>48</v>
      </c>
      <c r="E35" s="4">
        <v>0.151</v>
      </c>
      <c r="F35" s="4">
        <v>1.2300000000000001E-9</v>
      </c>
      <c r="G35" s="4">
        <v>1.0399999999999999E-9</v>
      </c>
      <c r="H35" s="4">
        <v>11.4</v>
      </c>
      <c r="I35" s="4">
        <v>10.199999999999999</v>
      </c>
      <c r="J35" s="4">
        <v>-9.3000000000000007</v>
      </c>
      <c r="K35" s="4">
        <v>-3.26</v>
      </c>
    </row>
    <row r="36" spans="1:11" x14ac:dyDescent="0.2">
      <c r="A36">
        <v>35</v>
      </c>
      <c r="B36" t="s">
        <v>89</v>
      </c>
      <c r="C36" t="s">
        <v>56</v>
      </c>
      <c r="D36" t="s">
        <v>48</v>
      </c>
      <c r="E36" s="4">
        <v>1.87</v>
      </c>
      <c r="F36" s="4">
        <v>2.2600000000000001E-11</v>
      </c>
      <c r="G36" s="4">
        <v>9.590000000000001E-10</v>
      </c>
      <c r="H36" s="4">
        <v>-2.15</v>
      </c>
      <c r="I36" s="4">
        <v>24.9</v>
      </c>
      <c r="J36" s="4">
        <v>-10.6</v>
      </c>
      <c r="K36" s="4">
        <v>-5.61</v>
      </c>
    </row>
    <row r="37" spans="1:11" x14ac:dyDescent="0.2">
      <c r="A37">
        <v>36</v>
      </c>
      <c r="B37" t="s">
        <v>90</v>
      </c>
      <c r="C37" t="s">
        <v>47</v>
      </c>
      <c r="D37" t="s">
        <v>48</v>
      </c>
      <c r="E37" s="4">
        <v>-0.41499999999999998</v>
      </c>
      <c r="F37" s="4">
        <v>2.07E-11</v>
      </c>
      <c r="G37" s="4">
        <v>8.8900000000000003E-10</v>
      </c>
      <c r="H37" s="4">
        <v>36.799999999999997</v>
      </c>
      <c r="I37" s="4">
        <v>38.200000000000003</v>
      </c>
      <c r="J37" s="4">
        <v>-9.9600000000000009</v>
      </c>
      <c r="K37" s="4">
        <v>3.69</v>
      </c>
    </row>
    <row r="38" spans="1:11" x14ac:dyDescent="0.2">
      <c r="A38">
        <v>37</v>
      </c>
      <c r="B38" t="s">
        <v>91</v>
      </c>
      <c r="C38" t="s">
        <v>52</v>
      </c>
      <c r="D38" t="s">
        <v>48</v>
      </c>
      <c r="E38" s="4">
        <v>0.91600000000000004</v>
      </c>
      <c r="F38" s="4">
        <v>1.14E-9</v>
      </c>
      <c r="G38" s="4">
        <v>8.9400000000000001E-10</v>
      </c>
      <c r="H38" s="4">
        <v>-3.47</v>
      </c>
      <c r="I38" s="4">
        <v>42.9</v>
      </c>
      <c r="J38" s="4">
        <v>-1.73</v>
      </c>
      <c r="K38" s="4">
        <v>3.13</v>
      </c>
    </row>
    <row r="39" spans="1:11" x14ac:dyDescent="0.2">
      <c r="A39">
        <v>38</v>
      </c>
      <c r="B39" t="s">
        <v>92</v>
      </c>
      <c r="C39" t="s">
        <v>52</v>
      </c>
      <c r="D39" t="s">
        <v>58</v>
      </c>
      <c r="E39" s="4">
        <v>0.97899999999999998</v>
      </c>
      <c r="F39" s="4">
        <v>1.0399999999999999E-9</v>
      </c>
      <c r="G39" s="4">
        <v>9.9800000000000007E-10</v>
      </c>
      <c r="H39" s="4">
        <v>21.1</v>
      </c>
      <c r="I39" s="4">
        <v>14.2</v>
      </c>
      <c r="J39" s="4">
        <v>-3.19</v>
      </c>
      <c r="K39" s="4">
        <v>-5.59</v>
      </c>
    </row>
    <row r="40" spans="1:11" x14ac:dyDescent="0.2">
      <c r="A40">
        <v>39</v>
      </c>
      <c r="B40" t="s">
        <v>93</v>
      </c>
      <c r="C40" t="s">
        <v>56</v>
      </c>
      <c r="D40" t="s">
        <v>58</v>
      </c>
      <c r="E40" s="4">
        <v>0.63900000000000001</v>
      </c>
      <c r="F40" s="4">
        <v>8.3600000000000001E-10</v>
      </c>
      <c r="G40" s="4">
        <v>1.1800000000000001E-9</v>
      </c>
      <c r="H40" s="4">
        <v>0.27400000000000002</v>
      </c>
      <c r="I40" s="4">
        <v>18.899999999999999</v>
      </c>
      <c r="J40" s="4">
        <v>-5.32</v>
      </c>
      <c r="K40" s="4">
        <v>-7.02</v>
      </c>
    </row>
    <row r="41" spans="1:11" x14ac:dyDescent="0.2">
      <c r="A41">
        <v>40</v>
      </c>
      <c r="B41" t="s">
        <v>94</v>
      </c>
      <c r="C41" t="s">
        <v>95</v>
      </c>
      <c r="D41" t="s">
        <v>58</v>
      </c>
      <c r="E41" s="4">
        <v>0.79100000000000004</v>
      </c>
      <c r="F41" s="4">
        <v>7.5899999999999996E-10</v>
      </c>
      <c r="G41" s="4">
        <v>1.79E-9</v>
      </c>
      <c r="H41" s="4">
        <v>5.85</v>
      </c>
      <c r="I41" s="4">
        <v>-1.05</v>
      </c>
      <c r="J41" s="4">
        <v>-6.47</v>
      </c>
      <c r="K41" s="4">
        <v>4.8499999999999996</v>
      </c>
    </row>
    <row r="42" spans="1:11" x14ac:dyDescent="0.2">
      <c r="A42">
        <v>41</v>
      </c>
      <c r="B42" t="s">
        <v>96</v>
      </c>
      <c r="C42" t="s">
        <v>97</v>
      </c>
      <c r="D42" t="s">
        <v>48</v>
      </c>
      <c r="E42" s="4">
        <v>0.71299999999999997</v>
      </c>
      <c r="F42" s="4">
        <v>-3.4300000000000002E-24</v>
      </c>
      <c r="G42" s="4">
        <v>2.0099999999999999E-9</v>
      </c>
      <c r="H42" s="4">
        <v>3.02E+18</v>
      </c>
      <c r="I42" s="4">
        <v>0.3</v>
      </c>
      <c r="J42" s="4">
        <v>9.67E+19</v>
      </c>
      <c r="K42" s="4">
        <v>4.6100000000000003</v>
      </c>
    </row>
    <row r="43" spans="1:11" x14ac:dyDescent="0.2">
      <c r="A43">
        <v>42</v>
      </c>
      <c r="B43" t="s">
        <v>98</v>
      </c>
      <c r="C43" t="s">
        <v>47</v>
      </c>
      <c r="D43" t="s">
        <v>48</v>
      </c>
      <c r="E43" s="4">
        <v>5.3400000000000001E-3</v>
      </c>
      <c r="F43" s="4">
        <v>-3.4300000000000002E-24</v>
      </c>
      <c r="G43" s="4">
        <v>1.3500000000000001E-9</v>
      </c>
      <c r="H43" s="4">
        <v>3.02E+18</v>
      </c>
      <c r="I43" s="4">
        <v>3.45</v>
      </c>
      <c r="J43" s="4">
        <v>9.67E+19</v>
      </c>
      <c r="K43" s="4">
        <v>-2.82</v>
      </c>
    </row>
    <row r="44" spans="1:11" x14ac:dyDescent="0.2">
      <c r="A44">
        <v>43</v>
      </c>
      <c r="B44" t="s">
        <v>99</v>
      </c>
      <c r="C44" t="s">
        <v>66</v>
      </c>
      <c r="D44" t="s">
        <v>58</v>
      </c>
      <c r="E44" s="4">
        <v>0.42899999999999999</v>
      </c>
      <c r="F44" s="4">
        <v>1.15E-9</v>
      </c>
      <c r="G44" s="4">
        <v>1.3999999999999999E-9</v>
      </c>
      <c r="H44" s="4">
        <v>-30.8</v>
      </c>
      <c r="I44" s="4">
        <v>5.5</v>
      </c>
      <c r="J44" s="4">
        <v>-1.47</v>
      </c>
      <c r="K44" s="4">
        <v>-3.03</v>
      </c>
    </row>
    <row r="45" spans="1:11" x14ac:dyDescent="0.2">
      <c r="A45">
        <v>44</v>
      </c>
      <c r="B45" t="s">
        <v>100</v>
      </c>
      <c r="C45" t="s">
        <v>66</v>
      </c>
      <c r="D45" t="s">
        <v>48</v>
      </c>
      <c r="E45" s="4">
        <v>1.49</v>
      </c>
      <c r="F45" s="4">
        <v>1.07E-9</v>
      </c>
      <c r="G45" s="4">
        <v>7.8599999999999997E-10</v>
      </c>
      <c r="H45" s="4">
        <v>1.78</v>
      </c>
      <c r="I45" s="4">
        <v>6.52</v>
      </c>
      <c r="J45" s="4">
        <v>-1.7</v>
      </c>
      <c r="K45" s="4">
        <v>0.22600000000000001</v>
      </c>
    </row>
    <row r="46" spans="1:11" x14ac:dyDescent="0.2">
      <c r="A46">
        <v>45</v>
      </c>
      <c r="B46" t="s">
        <v>101</v>
      </c>
      <c r="C46" t="s">
        <v>66</v>
      </c>
      <c r="D46" t="s">
        <v>48</v>
      </c>
      <c r="E46" s="4">
        <v>0.16</v>
      </c>
      <c r="F46" s="4">
        <v>1.26E-9</v>
      </c>
      <c r="G46" s="4">
        <v>7.8299999999999998E-10</v>
      </c>
      <c r="H46" s="4">
        <v>-62.5</v>
      </c>
      <c r="I46" s="4">
        <v>7.51</v>
      </c>
      <c r="J46" s="4">
        <v>2.1800000000000002</v>
      </c>
      <c r="K46" s="4">
        <v>-0.68500000000000005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Supplement Table 1</vt:lpstr>
      <vt:lpstr>Supplement Table 2</vt:lpstr>
      <vt:lpstr>Supplement Table 3</vt:lpstr>
      <vt:lpstr>Supplement Table 4</vt:lpstr>
      <vt:lpstr>Supplement Table5</vt:lpstr>
      <vt:lpstr>Supplement Table S6</vt:lpstr>
      <vt:lpstr>Supplement 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Lacroix</dc:creator>
  <cp:lastModifiedBy>Lacroix, Fabrice Kenneth Michel (GIUB)</cp:lastModifiedBy>
  <dcterms:created xsi:type="dcterms:W3CDTF">2025-02-01T17:21:42Z</dcterms:created>
  <dcterms:modified xsi:type="dcterms:W3CDTF">2025-09-26T15:38:20Z</dcterms:modified>
</cp:coreProperties>
</file>