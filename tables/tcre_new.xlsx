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croix/Documents/Jupyter_notebook/Paper4/tables/"/>
    </mc:Choice>
  </mc:AlternateContent>
  <xr:revisionPtr revIDLastSave="0" documentId="13_ncr:1_{96A25D8B-58F4-3340-9257-E0D66FAC111A}" xr6:coauthVersionLast="47" xr6:coauthVersionMax="47" xr10:uidLastSave="{00000000-0000-0000-0000-000000000000}"/>
  <bookViews>
    <workbookView xWindow="1520" yWindow="500" windowWidth="35880" windowHeight="16860" xr2:uid="{480D619D-59BE-1145-A54A-781576449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18" i="1"/>
  <c r="L17" i="1"/>
  <c r="L16" i="1"/>
  <c r="G16" i="1"/>
  <c r="G18" i="1"/>
  <c r="G17" i="1"/>
  <c r="G13" i="1"/>
  <c r="B17" i="1"/>
  <c r="B18" i="1"/>
  <c r="B16" i="1"/>
  <c r="B13" i="1"/>
</calcChain>
</file>

<file path=xl/sharedStrings.xml><?xml version="1.0" encoding="utf-8"?>
<sst xmlns="http://schemas.openxmlformats.org/spreadsheetml/2006/main" count="50" uniqueCount="37">
  <si>
    <t>Coastal Indicators</t>
  </si>
  <si>
    <t>Trend Units</t>
  </si>
  <si>
    <t>Model R value</t>
  </si>
  <si>
    <t>Model P value</t>
  </si>
  <si>
    <t>Observation Trends</t>
  </si>
  <si>
    <t>Observation R value</t>
  </si>
  <si>
    <t>Observation P value</t>
  </si>
  <si>
    <t>SST</t>
  </si>
  <si>
    <t>°C ppm-1</t>
  </si>
  <si>
    <t>pH</t>
  </si>
  <si>
    <t>10-9 M ppm-1</t>
  </si>
  <si>
    <t>NPP</t>
  </si>
  <si>
    <t>Tg C yr-1 (Tg N yr-1)-1</t>
  </si>
  <si>
    <t>O2</t>
  </si>
  <si>
    <t>mg O2 l-1 yr-1 ppm-1</t>
  </si>
  <si>
    <t>ICON Trends</t>
  </si>
  <si>
    <t>HAMOCC</t>
  </si>
  <si>
    <t>SST NOAA</t>
  </si>
  <si>
    <t>SST Hadisst</t>
  </si>
  <si>
    <t>SST COBE</t>
  </si>
  <si>
    <t>SST HAMOCC</t>
  </si>
  <si>
    <t>SST ICON</t>
  </si>
  <si>
    <t>Observational Mean</t>
  </si>
  <si>
    <t>Total Mean</t>
  </si>
  <si>
    <t>Total Standard Deviation</t>
  </si>
  <si>
    <t>pH SODAETHZ</t>
  </si>
  <si>
    <t>pH LSCE</t>
  </si>
  <si>
    <t>pH HAMOCC</t>
  </si>
  <si>
    <t>pH ICON</t>
  </si>
  <si>
    <t>R2</t>
  </si>
  <si>
    <t>P_value</t>
  </si>
  <si>
    <t>Trend [°C ppm-1 CO2]</t>
  </si>
  <si>
    <t>Trend [ 10-9M ppm-1CO2 ]</t>
  </si>
  <si>
    <t>Model Median</t>
  </si>
  <si>
    <t>NPP HAMOCC</t>
  </si>
  <si>
    <t>NPP ICON</t>
  </si>
  <si>
    <t>NPP VGPM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</si>
</sst>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BF60-FCA0-644A-917A-63BB8091B64F}">
  <dimension ref="A1:N18"/>
  <sheetViews>
    <sheetView tabSelected="1" workbookViewId="0">
      <selection activeCell="H23" sqref="H23"/>
    </sheetView>
  </sheetViews>
  <sheetFormatPr baseColWidth="10" defaultRowHeight="16" x14ac:dyDescent="0.2"/>
  <cols>
    <col min="1" max="1" width="22.1640625" customWidth="1"/>
    <col min="2" max="2" width="27.5" customWidth="1"/>
    <col min="3" max="3" width="15.83203125" customWidth="1"/>
    <col min="4" max="4" width="18.83203125" customWidth="1"/>
    <col min="5" max="5" width="17" customWidth="1"/>
    <col min="6" max="6" width="21.5" customWidth="1"/>
    <col min="7" max="7" width="30.33203125" customWidth="1"/>
    <col min="8" max="8" width="19" customWidth="1"/>
    <col min="11" max="11" width="21.6640625" customWidth="1"/>
    <col min="12" max="12" width="28.5" customWidth="1"/>
    <col min="13" max="13" width="11.83203125" customWidth="1"/>
    <col min="14" max="14" width="14.1640625" customWidth="1"/>
  </cols>
  <sheetData>
    <row r="1" spans="1:14" x14ac:dyDescent="0.2">
      <c r="A1" t="s">
        <v>0</v>
      </c>
      <c r="B1" t="s">
        <v>1</v>
      </c>
      <c r="C1" t="s">
        <v>15</v>
      </c>
      <c r="D1" t="s">
        <v>16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14" x14ac:dyDescent="0.2">
      <c r="A2" t="s">
        <v>7</v>
      </c>
      <c r="B2" t="s">
        <v>8</v>
      </c>
      <c r="C2">
        <v>8.7476017749138508E-3</v>
      </c>
      <c r="E2">
        <v>0.98927476280160298</v>
      </c>
      <c r="F2" s="1">
        <v>2.3257871374300399E-33</v>
      </c>
      <c r="G2">
        <v>8.5835481280121407E-3</v>
      </c>
      <c r="H2">
        <v>0.99948916400682197</v>
      </c>
      <c r="I2" s="1">
        <v>1.9240331478131801E-58</v>
      </c>
    </row>
    <row r="3" spans="1:14" x14ac:dyDescent="0.2">
      <c r="A3" t="s">
        <v>9</v>
      </c>
      <c r="B3" t="s">
        <v>10</v>
      </c>
      <c r="C3">
        <v>1.92265803404152E-2</v>
      </c>
      <c r="E3">
        <v>0.99981279004588497</v>
      </c>
      <c r="F3" s="1">
        <v>7.5769644357253595E-60</v>
      </c>
      <c r="G3">
        <v>1.66635264634253E-2</v>
      </c>
      <c r="H3">
        <v>-0.97021091662275205</v>
      </c>
      <c r="I3" s="1">
        <v>3.3124948858025701E-43</v>
      </c>
    </row>
    <row r="4" spans="1:14" x14ac:dyDescent="0.2">
      <c r="A4" t="s">
        <v>11</v>
      </c>
      <c r="B4" t="s">
        <v>12</v>
      </c>
      <c r="C4">
        <v>4.9716547059569703E-2</v>
      </c>
      <c r="E4">
        <v>0.99686497798553497</v>
      </c>
      <c r="F4" s="1">
        <v>2.12817275316739E-32</v>
      </c>
      <c r="G4">
        <v>2.27417780239155</v>
      </c>
      <c r="H4">
        <v>0.99098282231327905</v>
      </c>
      <c r="I4" s="1">
        <v>3.62289715554198E-17</v>
      </c>
    </row>
    <row r="5" spans="1:14" x14ac:dyDescent="0.2">
      <c r="A5" t="s">
        <v>13</v>
      </c>
      <c r="B5" t="s">
        <v>14</v>
      </c>
      <c r="C5">
        <v>-4.9483081752312497E-4</v>
      </c>
      <c r="E5">
        <v>-0.97021091662275205</v>
      </c>
      <c r="F5" s="1">
        <v>5.3024686315146696E-25</v>
      </c>
      <c r="G5">
        <v>-1.6297809713646E-3</v>
      </c>
      <c r="H5">
        <v>-0.98511902650765804</v>
      </c>
      <c r="I5" s="1">
        <v>1.1306099042768699E-30</v>
      </c>
    </row>
    <row r="9" spans="1:14" x14ac:dyDescent="0.2">
      <c r="B9" t="s">
        <v>31</v>
      </c>
      <c r="C9" t="s">
        <v>29</v>
      </c>
      <c r="D9" t="s">
        <v>30</v>
      </c>
      <c r="G9" t="s">
        <v>32</v>
      </c>
      <c r="H9" t="s">
        <v>29</v>
      </c>
      <c r="I9" t="s">
        <v>30</v>
      </c>
      <c r="L9" t="s">
        <v>32</v>
      </c>
      <c r="M9" t="s">
        <v>29</v>
      </c>
      <c r="N9" t="s">
        <v>30</v>
      </c>
    </row>
    <row r="10" spans="1:14" ht="17" x14ac:dyDescent="0.25">
      <c r="A10" t="s">
        <v>17</v>
      </c>
      <c r="B10" s="2">
        <v>7.0110704121094797E-3</v>
      </c>
      <c r="F10" t="s">
        <v>25</v>
      </c>
      <c r="G10" s="2">
        <v>1.6847999999999998E-2</v>
      </c>
      <c r="K10" t="s">
        <v>36</v>
      </c>
      <c r="L10" s="2">
        <v>1.6847999999999998E-2</v>
      </c>
    </row>
    <row r="11" spans="1:14" ht="17" x14ac:dyDescent="0.25">
      <c r="A11" t="s">
        <v>18</v>
      </c>
      <c r="B11" s="2">
        <v>8.1167907605367608E-3</v>
      </c>
      <c r="F11" t="s">
        <v>26</v>
      </c>
      <c r="G11" s="2">
        <v>1.4433700000000001E-2</v>
      </c>
      <c r="L11" s="2"/>
    </row>
    <row r="12" spans="1:14" x14ac:dyDescent="0.2">
      <c r="A12" t="s">
        <v>19</v>
      </c>
      <c r="B12">
        <v>7.0977843562294498E-3</v>
      </c>
    </row>
    <row r="13" spans="1:14" x14ac:dyDescent="0.2">
      <c r="A13" s="3" t="s">
        <v>22</v>
      </c>
      <c r="B13" s="3">
        <f>AVERAGE(B10:B12)</f>
        <v>7.4085485096252292E-3</v>
      </c>
      <c r="F13" s="3" t="s">
        <v>22</v>
      </c>
      <c r="G13" s="3">
        <f>AVERAGE(G10:G11)</f>
        <v>1.5640849999999998E-2</v>
      </c>
      <c r="K13" s="3" t="s">
        <v>22</v>
      </c>
      <c r="L13" s="3">
        <f>AVERAGE(L10)</f>
        <v>1.6847999999999998E-2</v>
      </c>
    </row>
    <row r="14" spans="1:14" x14ac:dyDescent="0.2">
      <c r="A14" t="s">
        <v>20</v>
      </c>
      <c r="B14">
        <v>8.1601535454905502E-3</v>
      </c>
      <c r="F14" t="s">
        <v>27</v>
      </c>
      <c r="G14">
        <v>1.6369214372476199E-2</v>
      </c>
      <c r="K14" t="s">
        <v>34</v>
      </c>
      <c r="L14">
        <v>1.6369214372476199E-2</v>
      </c>
    </row>
    <row r="15" spans="1:14" x14ac:dyDescent="0.2">
      <c r="A15" t="s">
        <v>21</v>
      </c>
      <c r="B15">
        <v>9.4868827812556403E-3</v>
      </c>
      <c r="F15" t="s">
        <v>28</v>
      </c>
      <c r="G15">
        <v>1.7044010169573499E-2</v>
      </c>
      <c r="K15" t="s">
        <v>35</v>
      </c>
      <c r="L15">
        <v>1.7044010169573499E-2</v>
      </c>
    </row>
    <row r="16" spans="1:14" x14ac:dyDescent="0.2">
      <c r="A16" s="3" t="s">
        <v>33</v>
      </c>
      <c r="B16" s="3">
        <f>AVERAGE(B14:B15)</f>
        <v>8.8235181633730952E-3</v>
      </c>
      <c r="F16" s="3" t="s">
        <v>33</v>
      </c>
      <c r="G16" s="3">
        <f>AVERAGE(G14:G15)</f>
        <v>1.6706612271024851E-2</v>
      </c>
      <c r="K16" s="3" t="s">
        <v>33</v>
      </c>
      <c r="L16" s="3">
        <f>AVERAGE(L14:L15)</f>
        <v>1.6706612271024851E-2</v>
      </c>
    </row>
    <row r="17" spans="1:12" x14ac:dyDescent="0.2">
      <c r="A17" s="3" t="s">
        <v>23</v>
      </c>
      <c r="B17" s="3">
        <f>MEDIAN(B10:B12,B14:B15)</f>
        <v>8.1167907605367608E-3</v>
      </c>
      <c r="F17" s="3" t="s">
        <v>23</v>
      </c>
      <c r="G17" s="3">
        <f>MEDIAN(G10:G11,G14:G15)</f>
        <v>1.6608607186238099E-2</v>
      </c>
      <c r="K17" s="3" t="s">
        <v>23</v>
      </c>
      <c r="L17" s="3">
        <f>MEDIAN(L10:L11,L14:L15)</f>
        <v>1.6847999999999998E-2</v>
      </c>
    </row>
    <row r="18" spans="1:12" x14ac:dyDescent="0.2">
      <c r="A18" s="3" t="s">
        <v>24</v>
      </c>
      <c r="B18" s="3">
        <f>STDEV(B10:B12,B14:B15)</f>
        <v>1.0048435774744372E-3</v>
      </c>
      <c r="F18" s="3" t="s">
        <v>24</v>
      </c>
      <c r="G18" s="3">
        <f>STDEV(G10:G11,G14:G15)</f>
        <v>1.1941449028810155E-3</v>
      </c>
      <c r="K18" s="3" t="s">
        <v>24</v>
      </c>
      <c r="L18" s="3">
        <f>STDEV(L10:L11,L14:L15)</f>
        <v>3.4713230702422662E-4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Lacroix, Fabrice Kenneth Michel (GIUB)</dc:creator>
  <cp:lastModifiedBy>Lacroix, Fabrice Kenneth Michel (GIUB)</cp:lastModifiedBy>
  <dcterms:created xsi:type="dcterms:W3CDTF">2025-09-12T14:34:12Z</dcterms:created>
  <dcterms:modified xsi:type="dcterms:W3CDTF">2025-09-16T08:51:48Z</dcterms:modified>
</cp:coreProperties>
</file>