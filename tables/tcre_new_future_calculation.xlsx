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croix/Documents/Jupyter_notebook/Paper4/tables/"/>
    </mc:Choice>
  </mc:AlternateContent>
  <xr:revisionPtr revIDLastSave="0" documentId="13_ncr:1_{92F1E224-3CE0-3D45-AE38-9C7EEB655E0D}" xr6:coauthVersionLast="47" xr6:coauthVersionMax="47" xr10:uidLastSave="{00000000-0000-0000-0000-000000000000}"/>
  <bookViews>
    <workbookView xWindow="1620" yWindow="1220" windowWidth="26780" windowHeight="16280" xr2:uid="{480D619D-59BE-1145-A54A-781576449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D47" i="1"/>
  <c r="D51" i="1"/>
  <c r="C51" i="1"/>
  <c r="C47" i="1"/>
  <c r="E51" i="1"/>
  <c r="E50" i="1"/>
  <c r="E49" i="1"/>
  <c r="E46" i="1"/>
  <c r="E47" i="1"/>
  <c r="E45" i="1"/>
  <c r="E42" i="1"/>
  <c r="E41" i="1"/>
  <c r="E38" i="1"/>
  <c r="E37" i="1"/>
  <c r="E34" i="1"/>
  <c r="E33" i="1"/>
  <c r="D46" i="1"/>
  <c r="D49" i="1"/>
  <c r="D50" i="1"/>
  <c r="D45" i="1"/>
  <c r="D42" i="1"/>
  <c r="D41" i="1"/>
  <c r="D38" i="1"/>
  <c r="D37" i="1"/>
  <c r="D33" i="1"/>
  <c r="D43" i="1"/>
  <c r="D39" i="1"/>
  <c r="D35" i="1"/>
  <c r="D34" i="1"/>
  <c r="B24" i="1"/>
  <c r="E19" i="1"/>
  <c r="E17" i="1"/>
  <c r="F35" i="1" s="1"/>
  <c r="E16" i="1"/>
  <c r="E13" i="1"/>
  <c r="F47" i="1" l="1"/>
  <c r="F39" i="1"/>
  <c r="F51" i="1"/>
  <c r="F43" i="1"/>
  <c r="F37" i="1"/>
  <c r="F42" i="1"/>
  <c r="F41" i="1"/>
  <c r="F50" i="1"/>
  <c r="F45" i="1"/>
  <c r="F38" i="1"/>
  <c r="F34" i="1"/>
  <c r="F46" i="1"/>
  <c r="F49" i="1"/>
  <c r="F33" i="1"/>
  <c r="D13" i="1"/>
  <c r="D19" i="1"/>
  <c r="D17" i="1"/>
  <c r="D16" i="1"/>
  <c r="D18" i="1" s="1"/>
  <c r="C16" i="1"/>
  <c r="C18" i="1" s="1"/>
  <c r="C19" i="1"/>
  <c r="C17" i="1"/>
  <c r="C13" i="1"/>
  <c r="B17" i="1"/>
  <c r="B19" i="1"/>
  <c r="B16" i="1"/>
  <c r="B13" i="1"/>
  <c r="B18" i="1" s="1"/>
  <c r="E39" i="1" l="1"/>
  <c r="E43" i="1"/>
  <c r="E35" i="1"/>
  <c r="C46" i="1"/>
  <c r="C34" i="1"/>
  <c r="C49" i="1"/>
  <c r="C50" i="1"/>
  <c r="C38" i="1"/>
  <c r="C37" i="1"/>
  <c r="C41" i="1"/>
  <c r="C45" i="1"/>
  <c r="C33" i="1"/>
  <c r="C42" i="1"/>
  <c r="C39" i="1"/>
  <c r="C43" i="1"/>
  <c r="C35" i="1"/>
</calcChain>
</file>

<file path=xl/sharedStrings.xml><?xml version="1.0" encoding="utf-8"?>
<sst xmlns="http://schemas.openxmlformats.org/spreadsheetml/2006/main" count="64" uniqueCount="39">
  <si>
    <t>Coastal Indicators</t>
  </si>
  <si>
    <t>Trend Units</t>
  </si>
  <si>
    <t>Model R value</t>
  </si>
  <si>
    <t>Model P value</t>
  </si>
  <si>
    <t>Observation Trends</t>
  </si>
  <si>
    <t>Observation R value</t>
  </si>
  <si>
    <t>Observation P value</t>
  </si>
  <si>
    <t>SST</t>
  </si>
  <si>
    <t>°C ppm-1</t>
  </si>
  <si>
    <t>pH</t>
  </si>
  <si>
    <t>10-9 M ppm-1</t>
  </si>
  <si>
    <t>NPP</t>
  </si>
  <si>
    <t>Tg C yr-1 (Tg N yr-1)-1</t>
  </si>
  <si>
    <t>O2</t>
  </si>
  <si>
    <t>mg O2 l-1 yr-1 ppm-1</t>
  </si>
  <si>
    <t>ICON Trends</t>
  </si>
  <si>
    <t>HAMOCC</t>
  </si>
  <si>
    <t>SST HAMOCC</t>
  </si>
  <si>
    <t>SST ICON</t>
  </si>
  <si>
    <t>Observational Mean</t>
  </si>
  <si>
    <t>Total Mean</t>
  </si>
  <si>
    <t>Total Standard Deviation</t>
  </si>
  <si>
    <t>Trend [°C ppm-1 CO2]</t>
  </si>
  <si>
    <t>Trend [ 10-9M ppm-1CO2 ]</t>
  </si>
  <si>
    <t>Model Median</t>
  </si>
  <si>
    <t>Trend [ Tg C yr-1 (Tg N yr-1)-1 ]</t>
  </si>
  <si>
    <t>Trend [ mg O2 L-1 ppm-1 CO2 ]</t>
  </si>
  <si>
    <t>SSP scenario</t>
  </si>
  <si>
    <t>Total Median</t>
  </si>
  <si>
    <t>SSP1</t>
  </si>
  <si>
    <t>SSP2</t>
  </si>
  <si>
    <t>SSP3</t>
  </si>
  <si>
    <t>SSP4</t>
  </si>
  <si>
    <t>SSP5</t>
  </si>
  <si>
    <t>Atmospheric CO2 [ppm]</t>
  </si>
  <si>
    <t>Global River N [Tg N yr-1]</t>
  </si>
  <si>
    <t>Min</t>
  </si>
  <si>
    <t>Max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</si>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</sst>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BF60-FCA0-644A-917A-63BB8091B64F}">
  <dimension ref="A1:R51"/>
  <sheetViews>
    <sheetView tabSelected="1" topLeftCell="B16" workbookViewId="0">
      <selection activeCell="E31" sqref="E31"/>
    </sheetView>
  </sheetViews>
  <sheetFormatPr baseColWidth="10" defaultRowHeight="16" x14ac:dyDescent="0.2"/>
  <cols>
    <col min="1" max="1" width="22.1640625" customWidth="1"/>
    <col min="2" max="2" width="27.5" customWidth="1"/>
    <col min="3" max="3" width="24" customWidth="1"/>
    <col min="4" max="4" width="18.83203125" customWidth="1"/>
    <col min="5" max="5" width="17" customWidth="1"/>
    <col min="6" max="6" width="19.83203125" customWidth="1"/>
    <col min="7" max="7" width="30.33203125" customWidth="1"/>
    <col min="8" max="8" width="19" customWidth="1"/>
    <col min="11" max="11" width="21.6640625" customWidth="1"/>
    <col min="12" max="12" width="28.5" customWidth="1"/>
    <col min="13" max="13" width="11.83203125" customWidth="1"/>
    <col min="14" max="14" width="14.1640625" customWidth="1"/>
    <col min="16" max="16" width="17" customWidth="1"/>
    <col min="17" max="17" width="17.83203125" customWidth="1"/>
  </cols>
  <sheetData>
    <row r="1" spans="1:18" x14ac:dyDescent="0.2">
      <c r="A1" t="s">
        <v>0</v>
      </c>
      <c r="B1" t="s">
        <v>1</v>
      </c>
      <c r="C1" t="s">
        <v>15</v>
      </c>
      <c r="D1" t="s">
        <v>16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8" x14ac:dyDescent="0.2">
      <c r="A2" t="s">
        <v>7</v>
      </c>
      <c r="B2" t="s">
        <v>8</v>
      </c>
      <c r="C2">
        <v>8.7476017749138508E-3</v>
      </c>
      <c r="E2">
        <v>0.98927476280160298</v>
      </c>
      <c r="F2" s="1">
        <v>2.3257871374300399E-33</v>
      </c>
      <c r="G2">
        <v>8.5835481280121407E-3</v>
      </c>
      <c r="H2">
        <v>0.99948916400682197</v>
      </c>
      <c r="I2" s="1">
        <v>1.9240331478131801E-58</v>
      </c>
    </row>
    <row r="3" spans="1:18" x14ac:dyDescent="0.2">
      <c r="A3" t="s">
        <v>9</v>
      </c>
      <c r="B3" t="s">
        <v>10</v>
      </c>
      <c r="C3">
        <v>1.92265803404152E-2</v>
      </c>
      <c r="E3">
        <v>0.99981279004588497</v>
      </c>
      <c r="F3" s="1">
        <v>7.5769644357253595E-60</v>
      </c>
      <c r="G3">
        <v>1.66635264634253E-2</v>
      </c>
      <c r="H3">
        <v>-0.97021091662275205</v>
      </c>
      <c r="I3" s="1">
        <v>3.3124948858025701E-43</v>
      </c>
    </row>
    <row r="4" spans="1:18" x14ac:dyDescent="0.2">
      <c r="A4" t="s">
        <v>11</v>
      </c>
      <c r="B4" t="s">
        <v>12</v>
      </c>
      <c r="C4">
        <v>4.9716547059569703E-2</v>
      </c>
      <c r="E4">
        <v>0.99686497798553497</v>
      </c>
      <c r="F4" s="1">
        <v>2.12817275316739E-32</v>
      </c>
      <c r="G4">
        <v>2.27417780239155</v>
      </c>
      <c r="H4">
        <v>0.99098282231327905</v>
      </c>
      <c r="I4" s="1">
        <v>3.62289715554198E-17</v>
      </c>
    </row>
    <row r="5" spans="1:18" x14ac:dyDescent="0.2">
      <c r="A5" t="s">
        <v>13</v>
      </c>
      <c r="B5" t="s">
        <v>14</v>
      </c>
      <c r="C5">
        <v>-4.9483081752312497E-4</v>
      </c>
      <c r="E5">
        <v>-0.97021091662275205</v>
      </c>
      <c r="F5" s="1">
        <v>5.3024686315146696E-25</v>
      </c>
      <c r="G5">
        <v>-1.6297809713646E-3</v>
      </c>
      <c r="H5">
        <v>-0.98511902650765804</v>
      </c>
      <c r="I5" s="1">
        <v>1.1306099042768699E-30</v>
      </c>
    </row>
    <row r="8" spans="1:18" x14ac:dyDescent="0.2">
      <c r="B8" t="s">
        <v>7</v>
      </c>
      <c r="C8" t="s">
        <v>9</v>
      </c>
      <c r="D8" t="s">
        <v>11</v>
      </c>
      <c r="E8" t="s">
        <v>13</v>
      </c>
    </row>
    <row r="9" spans="1:18" x14ac:dyDescent="0.2">
      <c r="B9" t="s">
        <v>22</v>
      </c>
      <c r="C9" t="s">
        <v>23</v>
      </c>
      <c r="D9" t="s">
        <v>25</v>
      </c>
      <c r="E9" t="s">
        <v>26</v>
      </c>
    </row>
    <row r="10" spans="1:18" ht="17" x14ac:dyDescent="0.25">
      <c r="B10" s="2">
        <v>7.0110704121094797E-3</v>
      </c>
      <c r="C10" s="2">
        <v>1.6847999999999998E-2</v>
      </c>
      <c r="D10" s="2">
        <v>2.2519999999999998</v>
      </c>
      <c r="E10" s="2">
        <v>1.41E-3</v>
      </c>
    </row>
    <row r="11" spans="1:18" ht="17" x14ac:dyDescent="0.25">
      <c r="B11" s="2">
        <v>8.1167907605367608E-3</v>
      </c>
      <c r="C11" s="2">
        <v>1.4433700000000001E-2</v>
      </c>
      <c r="D11" s="2"/>
      <c r="E11" s="2">
        <v>3.2100000000000002E-3</v>
      </c>
    </row>
    <row r="12" spans="1:18" x14ac:dyDescent="0.2">
      <c r="B12">
        <v>7.0977843562294498E-3</v>
      </c>
    </row>
    <row r="13" spans="1:18" x14ac:dyDescent="0.2">
      <c r="A13" s="3" t="s">
        <v>19</v>
      </c>
      <c r="B13" s="3">
        <f>AVERAGE(B10:B12)</f>
        <v>7.4085485096252292E-3</v>
      </c>
      <c r="C13" s="3">
        <f>AVERAGE(C10:C11)</f>
        <v>1.5640849999999998E-2</v>
      </c>
      <c r="D13" s="3">
        <f>AVERAGE(D10)</f>
        <v>2.2519999999999998</v>
      </c>
      <c r="E13" s="3">
        <f>AVERAGE(E10:E11)</f>
        <v>2.31E-3</v>
      </c>
      <c r="F13" s="3"/>
      <c r="H13" s="3"/>
      <c r="K13" s="3"/>
      <c r="P13" s="3"/>
      <c r="R13" s="3"/>
    </row>
    <row r="14" spans="1:18" x14ac:dyDescent="0.2">
      <c r="A14" t="s">
        <v>17</v>
      </c>
      <c r="B14">
        <v>8.1601535454905502E-3</v>
      </c>
      <c r="C14">
        <v>1.6369214372476199E-2</v>
      </c>
      <c r="D14">
        <v>1.234</v>
      </c>
      <c r="E14">
        <v>3.8999999999999999E-4</v>
      </c>
    </row>
    <row r="15" spans="1:18" x14ac:dyDescent="0.2">
      <c r="A15" t="s">
        <v>18</v>
      </c>
      <c r="B15">
        <v>9.4868827812556403E-3</v>
      </c>
      <c r="C15">
        <v>1.7044010169573499E-2</v>
      </c>
      <c r="D15">
        <v>1.59</v>
      </c>
      <c r="E15">
        <v>1.021E-3</v>
      </c>
    </row>
    <row r="16" spans="1:18" x14ac:dyDescent="0.2">
      <c r="A16" s="3" t="s">
        <v>24</v>
      </c>
      <c r="B16" s="3">
        <f>AVERAGE(B14:B15)</f>
        <v>8.8235181633730952E-3</v>
      </c>
      <c r="C16" s="3">
        <f>AVERAGE(C14:C15)</f>
        <v>1.6706612271024851E-2</v>
      </c>
      <c r="D16" s="3">
        <f>AVERAGE(D14:D15)</f>
        <v>1.4119999999999999</v>
      </c>
      <c r="E16" s="3">
        <f>AVERAGE(E14:E15)</f>
        <v>7.0549999999999996E-4</v>
      </c>
      <c r="F16" s="3"/>
      <c r="H16" s="3"/>
      <c r="K16" s="3"/>
      <c r="M16" s="3"/>
      <c r="P16" s="3"/>
      <c r="R16" s="3"/>
    </row>
    <row r="17" spans="1:18" x14ac:dyDescent="0.2">
      <c r="A17" s="3" t="s">
        <v>28</v>
      </c>
      <c r="B17" s="3">
        <f>MEDIAN(B10:B12,B14:B15)</f>
        <v>8.1167907605367608E-3</v>
      </c>
      <c r="C17" s="3">
        <f>MEDIAN(C10:C11,C14:C15)</f>
        <v>1.6608607186238099E-2</v>
      </c>
      <c r="D17" s="3">
        <f>MEDIAN(D10:D11,D14:D15)</f>
        <v>1.59</v>
      </c>
      <c r="E17" s="3">
        <f>MEDIAN(E10:E11,E14:E15)</f>
        <v>1.2155E-3</v>
      </c>
      <c r="F17" s="3"/>
      <c r="H17" s="3"/>
      <c r="K17" s="3"/>
      <c r="M17" s="3"/>
      <c r="P17" s="3"/>
      <c r="R17" s="3"/>
    </row>
    <row r="18" spans="1:18" x14ac:dyDescent="0.2">
      <c r="A18" s="3" t="s">
        <v>20</v>
      </c>
      <c r="B18" s="3">
        <f>AVERAGE(B11:B13,B15:B16)</f>
        <v>8.1867049142040349E-3</v>
      </c>
      <c r="C18" s="3">
        <f>AVERAGE(C11:C12,C15:C16)</f>
        <v>1.6061440813532783E-2</v>
      </c>
      <c r="D18" s="3">
        <f>AVERAGE(D11:D12,D15:D16)</f>
        <v>1.5009999999999999</v>
      </c>
      <c r="E18" s="3">
        <f>AVERAGE(E10:E11,E14:E15)</f>
        <v>1.50775E-3</v>
      </c>
      <c r="F18" s="3"/>
      <c r="H18" s="3"/>
      <c r="K18" s="3"/>
      <c r="M18" s="3"/>
      <c r="P18" s="3"/>
      <c r="R18" s="3"/>
    </row>
    <row r="19" spans="1:18" x14ac:dyDescent="0.2">
      <c r="A19" s="3" t="s">
        <v>21</v>
      </c>
      <c r="B19" s="3">
        <f>STDEV(B10:B12,B14:B15)</f>
        <v>1.0048435774744372E-3</v>
      </c>
      <c r="C19" s="3">
        <f>STDEV(C10:C11,C14:C15)</f>
        <v>1.1941449028810155E-3</v>
      </c>
      <c r="D19" s="3">
        <f>STDEV(D10:D11,D14:D15)</f>
        <v>0.5166081687313907</v>
      </c>
      <c r="E19" s="3">
        <f>STDEV(E10:E11,E14:E15)</f>
        <v>1.2101653812599336E-3</v>
      </c>
      <c r="F19" s="3"/>
      <c r="H19" s="3"/>
      <c r="K19" s="3"/>
      <c r="M19" s="3"/>
      <c r="P19" s="3"/>
      <c r="R19" s="3"/>
    </row>
    <row r="22" spans="1:18" x14ac:dyDescent="0.2">
      <c r="A22" t="s">
        <v>27</v>
      </c>
    </row>
    <row r="23" spans="1:18" x14ac:dyDescent="0.2">
      <c r="B23" t="s">
        <v>34</v>
      </c>
      <c r="C23" t="s">
        <v>35</v>
      </c>
    </row>
    <row r="24" spans="1:18" x14ac:dyDescent="0.2">
      <c r="A24" t="s">
        <v>29</v>
      </c>
      <c r="B24">
        <f>426.5-399.98</f>
        <v>26.519999999999982</v>
      </c>
      <c r="C24">
        <v>2</v>
      </c>
    </row>
    <row r="25" spans="1:18" x14ac:dyDescent="0.2">
      <c r="A25" t="s">
        <v>30</v>
      </c>
      <c r="B25">
        <v>173.8</v>
      </c>
      <c r="C25">
        <v>13</v>
      </c>
    </row>
    <row r="26" spans="1:18" x14ac:dyDescent="0.2">
      <c r="A26" t="s">
        <v>31</v>
      </c>
      <c r="B26">
        <v>250.7</v>
      </c>
      <c r="C26">
        <v>18</v>
      </c>
    </row>
    <row r="27" spans="1:18" x14ac:dyDescent="0.2">
      <c r="A27" t="s">
        <v>32</v>
      </c>
      <c r="B27">
        <v>240.1</v>
      </c>
      <c r="C27">
        <v>15</v>
      </c>
    </row>
    <row r="28" spans="1:18" x14ac:dyDescent="0.2">
      <c r="A28" t="s">
        <v>33</v>
      </c>
      <c r="B28">
        <v>703.8</v>
      </c>
      <c r="C28">
        <v>13</v>
      </c>
    </row>
    <row r="32" spans="1:18" x14ac:dyDescent="0.2">
      <c r="C32" t="s">
        <v>7</v>
      </c>
      <c r="D32" t="s">
        <v>9</v>
      </c>
      <c r="E32" t="s">
        <v>11</v>
      </c>
      <c r="F32" t="s">
        <v>13</v>
      </c>
    </row>
    <row r="33" spans="1:6" x14ac:dyDescent="0.2">
      <c r="A33" t="s">
        <v>29</v>
      </c>
      <c r="B33" t="s">
        <v>36</v>
      </c>
      <c r="C33">
        <f>$B$18*B24-$B$19*B24</f>
        <v>0.19046296265006879</v>
      </c>
      <c r="D33">
        <f>C$18*B24-$C$19*B24</f>
        <v>0.39428068755048457</v>
      </c>
      <c r="E33">
        <f>D$18*C24-$D$19*C24</f>
        <v>1.9687836625372184</v>
      </c>
      <c r="F33">
        <f>E$18*B24-$E$19*B24</f>
        <v>7.8919440889865522E-3</v>
      </c>
    </row>
    <row r="34" spans="1:6" x14ac:dyDescent="0.2">
      <c r="B34" t="s">
        <v>37</v>
      </c>
      <c r="C34">
        <f>B18*B24+B19*B24</f>
        <v>0.24375986599931293</v>
      </c>
      <c r="D34">
        <f>C18*B24+C19*B24</f>
        <v>0.45761813319929362</v>
      </c>
      <c r="E34">
        <f>D17*C24+D19*C24</f>
        <v>4.2132163374627813</v>
      </c>
      <c r="F34">
        <f>E18*B24+E19*B24</f>
        <v>7.2079115911013389E-2</v>
      </c>
    </row>
    <row r="35" spans="1:6" x14ac:dyDescent="0.2">
      <c r="B35" t="s">
        <v>38</v>
      </c>
      <c r="C35">
        <f>B17*B24</f>
        <v>0.21525729096943474</v>
      </c>
      <c r="D35">
        <f>C17*B24</f>
        <v>0.44046026257903409</v>
      </c>
      <c r="E35">
        <f t="shared" ref="E35" si="0">D17*C24</f>
        <v>3.18</v>
      </c>
      <c r="F35">
        <f>E17*B24</f>
        <v>3.2235059999999975E-2</v>
      </c>
    </row>
    <row r="36" spans="1:6" x14ac:dyDescent="0.2">
      <c r="A36" t="s">
        <v>30</v>
      </c>
    </row>
    <row r="37" spans="1:6" x14ac:dyDescent="0.2">
      <c r="B37" t="s">
        <v>36</v>
      </c>
      <c r="C37">
        <f>$B$18*B25-$B$19*B25</f>
        <v>1.2482075003236042</v>
      </c>
      <c r="D37">
        <f>$C$18*B25-$C$19*B25</f>
        <v>2.583936029271277</v>
      </c>
      <c r="E37">
        <f>$D$18*C25-$D$19*C25</f>
        <v>12.797093806491919</v>
      </c>
      <c r="F37">
        <f>$E$18*B25-$E$19*B25</f>
        <v>5.1720206737023516E-2</v>
      </c>
    </row>
    <row r="38" spans="1:6" x14ac:dyDescent="0.2">
      <c r="B38" t="s">
        <v>37</v>
      </c>
      <c r="C38">
        <f>$B$18*B25+$B$19*B25</f>
        <v>1.5974911278537185</v>
      </c>
      <c r="D38">
        <f>$C$18*B25+$C$19*B25</f>
        <v>2.9990207975127183</v>
      </c>
      <c r="E38">
        <f>$D$18*C25+$D$19*C25</f>
        <v>26.228906193508077</v>
      </c>
      <c r="F38">
        <f>$E$18*B25+$E$19*B25</f>
        <v>0.47237369326297651</v>
      </c>
    </row>
    <row r="39" spans="1:6" x14ac:dyDescent="0.2">
      <c r="B39" t="s">
        <v>38</v>
      </c>
      <c r="C39">
        <f>B17*B25</f>
        <v>1.410698234181289</v>
      </c>
      <c r="D39">
        <f>C17*B25</f>
        <v>2.8865759289681816</v>
      </c>
      <c r="E39">
        <f t="shared" ref="E39" si="1">D17*C25</f>
        <v>20.67</v>
      </c>
      <c r="F39">
        <f>E17*B25</f>
        <v>0.21125390000000002</v>
      </c>
    </row>
    <row r="40" spans="1:6" x14ac:dyDescent="0.2">
      <c r="A40" t="s">
        <v>31</v>
      </c>
    </row>
    <row r="41" spans="1:6" x14ac:dyDescent="0.2">
      <c r="B41" t="s">
        <v>36</v>
      </c>
      <c r="C41">
        <f>$B$18*B26-$B$19*B26</f>
        <v>1.80049263711811</v>
      </c>
      <c r="D41">
        <f>$C$18*B26-$C$19*B26</f>
        <v>3.727231084800398</v>
      </c>
      <c r="E41">
        <f>$D$18*C26-$D$19*C26</f>
        <v>17.719052962834965</v>
      </c>
      <c r="F41">
        <f>$E$18*B26-$E$19*B26</f>
        <v>7.4604463918134634E-2</v>
      </c>
    </row>
    <row r="42" spans="1:6" x14ac:dyDescent="0.2">
      <c r="B42" t="s">
        <v>37</v>
      </c>
      <c r="C42">
        <f>$B$18*B26+$B$19*B26</f>
        <v>2.304321206863793</v>
      </c>
      <c r="D42">
        <f>$C$18*B26+$C$19*B26</f>
        <v>4.3259753391049394</v>
      </c>
      <c r="E42">
        <f>$D$18*C26+$D$19*C26</f>
        <v>36.316947037165029</v>
      </c>
      <c r="F42">
        <f>$E$18*B26+$E$19*B26</f>
        <v>0.68138138608186538</v>
      </c>
    </row>
    <row r="43" spans="1:6" x14ac:dyDescent="0.2">
      <c r="B43" t="s">
        <v>38</v>
      </c>
      <c r="C43">
        <f>B17*B26</f>
        <v>2.0348794436665658</v>
      </c>
      <c r="D43">
        <f>C17*B26</f>
        <v>4.1637778215898908</v>
      </c>
      <c r="E43">
        <f t="shared" ref="E43" si="2">D17*C26</f>
        <v>28.62</v>
      </c>
      <c r="F43">
        <f>E17*B26</f>
        <v>0.30472584999999996</v>
      </c>
    </row>
    <row r="44" spans="1:6" x14ac:dyDescent="0.2">
      <c r="A44" t="s">
        <v>32</v>
      </c>
    </row>
    <row r="45" spans="1:6" x14ac:dyDescent="0.2">
      <c r="B45" t="s">
        <v>36</v>
      </c>
      <c r="C45">
        <f>$B$18*B27-$B$19*B27</f>
        <v>1.7243649069487763</v>
      </c>
      <c r="D45">
        <f>$C$18*B27-$C$19*B27</f>
        <v>3.5696377481474895</v>
      </c>
      <c r="E45">
        <f>$D$18*C27-$D$19*C27</f>
        <v>14.765877469029135</v>
      </c>
      <c r="F45">
        <f>$E$18*B27-$E$19*B27</f>
        <v>7.1450066959489966E-2</v>
      </c>
    </row>
    <row r="46" spans="1:6" x14ac:dyDescent="0.2">
      <c r="B46" t="s">
        <v>37</v>
      </c>
      <c r="C46">
        <f>$B$18*B27+$B$19*B27</f>
        <v>2.206890792852001</v>
      </c>
      <c r="D46">
        <f>$C$18*B27+$C$19*B27</f>
        <v>4.1430661305109533</v>
      </c>
      <c r="E46">
        <f>$D$18*C27+$D$19*C27</f>
        <v>30.264122530970859</v>
      </c>
      <c r="F46">
        <f>$E$18*B27+$E$19*B27</f>
        <v>0.65257148304051005</v>
      </c>
    </row>
    <row r="47" spans="1:6" x14ac:dyDescent="0.2">
      <c r="B47" t="s">
        <v>38</v>
      </c>
      <c r="C47">
        <f>B17*B27</f>
        <v>1.9488414616048761</v>
      </c>
      <c r="D47">
        <f>C17*B27</f>
        <v>3.9877265854157673</v>
      </c>
      <c r="E47">
        <f>D17*C27</f>
        <v>23.85</v>
      </c>
      <c r="F47">
        <f>E17*B27</f>
        <v>0.29184155000000001</v>
      </c>
    </row>
    <row r="48" spans="1:6" x14ac:dyDescent="0.2">
      <c r="A48" t="s">
        <v>33</v>
      </c>
    </row>
    <row r="49" spans="2:6" x14ac:dyDescent="0.2">
      <c r="B49" t="s">
        <v>36</v>
      </c>
      <c r="C49">
        <f>$B$18*B28-$B$19*B28</f>
        <v>5.054594008790291</v>
      </c>
      <c r="D49">
        <f>$C$18*B28-$C$19*B28</f>
        <v>10.463602861916712</v>
      </c>
      <c r="E49">
        <f>$D$18*C28-$D$19*C28</f>
        <v>12.797093806491919</v>
      </c>
      <c r="F49">
        <f>$E$18*B28-$E$19*B28</f>
        <v>0.20944005466925864</v>
      </c>
    </row>
    <row r="50" spans="2:6" x14ac:dyDescent="0.2">
      <c r="B50" t="s">
        <v>37</v>
      </c>
      <c r="C50">
        <f>$B$18*B28+$B$19*B28</f>
        <v>6.4690118284433087</v>
      </c>
      <c r="D50">
        <f>$C$18*B28+$C$19*B28</f>
        <v>12.144481227212029</v>
      </c>
      <c r="E50">
        <f>$D$18*C28+$D$19*C28</f>
        <v>26.228906193508077</v>
      </c>
      <c r="F50">
        <f>$E$18*B28+$E$19*B28</f>
        <v>1.912868845330741</v>
      </c>
    </row>
    <row r="51" spans="2:6" x14ac:dyDescent="0.2">
      <c r="B51" t="s">
        <v>38</v>
      </c>
      <c r="C51">
        <f>B17*B28</f>
        <v>5.7125973372657715</v>
      </c>
      <c r="D51">
        <f>C17*B28</f>
        <v>11.689137737674374</v>
      </c>
      <c r="E51">
        <f>D17*C28</f>
        <v>20.67</v>
      </c>
      <c r="F51">
        <f>E17*B28</f>
        <v>0.85546889999999998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Lacroix, Fabrice Kenneth Michel (GIUB)</dc:creator>
  <cp:lastModifiedBy>Lacroix, Fabrice Kenneth Michel (GIUB)</cp:lastModifiedBy>
  <dcterms:created xsi:type="dcterms:W3CDTF">2025-09-12T14:34:12Z</dcterms:created>
  <dcterms:modified xsi:type="dcterms:W3CDTF">2025-09-17T19:17:15Z</dcterms:modified>
</cp:coreProperties>
</file>